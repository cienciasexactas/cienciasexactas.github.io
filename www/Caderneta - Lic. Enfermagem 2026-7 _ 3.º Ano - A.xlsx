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bpt-my.sharepoint.com/personal/2102132_estudante_uab_pt/Documents/Projetos/Site-Home/www/"/>
    </mc:Choice>
  </mc:AlternateContent>
  <xr:revisionPtr revIDLastSave="6" documentId="14_{D21584A0-6D9F-490B-99E5-957C1A6CC37D}" xr6:coauthVersionLast="47" xr6:coauthVersionMax="47" xr10:uidLastSave="{60FCDD10-E122-4DC2-BC36-DA03E4CEA10F}"/>
  <bookViews>
    <workbookView xWindow="-110" yWindow="-110" windowWidth="19420" windowHeight="11020" activeTab="4" xr2:uid="{00000000-000D-0000-FFFF-FFFF00000000}"/>
  </bookViews>
  <sheets>
    <sheet name="Balanço" sheetId="1" r:id="rId1"/>
    <sheet name="Balanço - Relatório" sheetId="2" r:id="rId2"/>
    <sheet name="Ficha 1" sheetId="3" r:id="rId3"/>
    <sheet name="Ficha 2" sheetId="4" r:id="rId4"/>
    <sheet name="Teste 1" sheetId="5" r:id="rId5"/>
    <sheet name="Teste 2" sheetId="6" r:id="rId6"/>
    <sheet name="Teste 3" sheetId="7" r:id="rId7"/>
    <sheet name="Exame" sheetId="8" r:id="rId8"/>
    <sheet name="Presenças" sheetId="9" r:id="rId9"/>
  </sheets>
  <calcPr calcId="181029"/>
  <extLst>
    <ext uri="GoogleSheetsCustomDataVersion2">
      <go:sheetsCustomData xmlns:go="http://customooxmlschemas.google.com/" r:id="rId13" roundtripDataChecksum="eOHsAlntsL/3gHWfmrLlZsxovox98gFbMC/lVtB53D4="/>
    </ext>
  </extLst>
</workbook>
</file>

<file path=xl/calcChain.xml><?xml version="1.0" encoding="utf-8"?>
<calcChain xmlns="http://schemas.openxmlformats.org/spreadsheetml/2006/main">
  <c r="B7" i="4" l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6" i="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6" i="3"/>
  <c r="N25" i="8" l="1"/>
  <c r="O25" i="8"/>
  <c r="P25" i="8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F45" i="9"/>
  <c r="AF44" i="9"/>
  <c r="AH44" i="9" s="1"/>
  <c r="AF43" i="9"/>
  <c r="AH43" i="9" s="1"/>
  <c r="AF42" i="9"/>
  <c r="AH42" i="9" s="1"/>
  <c r="AG41" i="9"/>
  <c r="AF41" i="9"/>
  <c r="AH41" i="9" s="1"/>
  <c r="AG40" i="9"/>
  <c r="AF40" i="9"/>
  <c r="AH40" i="9" s="1"/>
  <c r="AF39" i="9"/>
  <c r="AH39" i="9" s="1"/>
  <c r="AF38" i="9"/>
  <c r="AH38" i="9" s="1"/>
  <c r="AF37" i="9"/>
  <c r="AH37" i="9" s="1"/>
  <c r="AH36" i="9"/>
  <c r="AG36" i="9"/>
  <c r="AF36" i="9"/>
  <c r="AF35" i="9"/>
  <c r="AH35" i="9" s="1"/>
  <c r="AF34" i="9"/>
  <c r="AG34" i="9" s="1"/>
  <c r="AF33" i="9"/>
  <c r="AG33" i="9" s="1"/>
  <c r="AH32" i="9"/>
  <c r="AG32" i="9"/>
  <c r="AF31" i="9"/>
  <c r="AG31" i="9" s="1"/>
  <c r="AF30" i="9"/>
  <c r="AG30" i="9" s="1"/>
  <c r="AG29" i="9"/>
  <c r="AF29" i="9"/>
  <c r="AH29" i="9" s="1"/>
  <c r="AF28" i="9"/>
  <c r="AH28" i="9" s="1"/>
  <c r="AF27" i="9"/>
  <c r="AH27" i="9" s="1"/>
  <c r="AH26" i="9"/>
  <c r="AF26" i="9"/>
  <c r="AG26" i="9" s="1"/>
  <c r="AG25" i="9"/>
  <c r="AF25" i="9"/>
  <c r="AH25" i="9" s="1"/>
  <c r="AF24" i="9"/>
  <c r="AH24" i="9" s="1"/>
  <c r="AF23" i="9"/>
  <c r="AG23" i="9" s="1"/>
  <c r="AF22" i="9"/>
  <c r="AG22" i="9" s="1"/>
  <c r="AG21" i="9"/>
  <c r="AF21" i="9"/>
  <c r="AH21" i="9" s="1"/>
  <c r="AF20" i="9"/>
  <c r="AH20" i="9" s="1"/>
  <c r="AF19" i="9"/>
  <c r="AH19" i="9" s="1"/>
  <c r="AH18" i="9"/>
  <c r="AF18" i="9"/>
  <c r="AG18" i="9" s="1"/>
  <c r="AG17" i="9"/>
  <c r="AF17" i="9"/>
  <c r="AH17" i="9" s="1"/>
  <c r="AF16" i="9"/>
  <c r="AH16" i="9" s="1"/>
  <c r="AF15" i="9"/>
  <c r="AG15" i="9" s="1"/>
  <c r="AF14" i="9"/>
  <c r="AG14" i="9" s="1"/>
  <c r="AF13" i="9"/>
  <c r="AH13" i="9" s="1"/>
  <c r="AF12" i="9"/>
  <c r="AH12" i="9" s="1"/>
  <c r="AF11" i="9"/>
  <c r="AH11" i="9" s="1"/>
  <c r="AH10" i="9"/>
  <c r="AF10" i="9"/>
  <c r="AG10" i="9" s="1"/>
  <c r="AG9" i="9"/>
  <c r="AF9" i="9"/>
  <c r="AH9" i="9" s="1"/>
  <c r="AF8" i="9"/>
  <c r="AH8" i="9" s="1"/>
  <c r="AF7" i="9"/>
  <c r="AG7" i="9" s="1"/>
  <c r="M25" i="8"/>
  <c r="L25" i="8"/>
  <c r="K25" i="8"/>
  <c r="J25" i="8"/>
  <c r="I25" i="8"/>
  <c r="H25" i="8"/>
  <c r="G25" i="8"/>
  <c r="F25" i="8"/>
  <c r="E25" i="8"/>
  <c r="D25" i="8"/>
  <c r="C25" i="8"/>
  <c r="Q22" i="8"/>
  <c r="Q21" i="8"/>
  <c r="R21" i="8" s="1"/>
  <c r="R20" i="8"/>
  <c r="Q20" i="8"/>
  <c r="Q19" i="8"/>
  <c r="R19" i="8" s="1"/>
  <c r="Q18" i="8"/>
  <c r="R18" i="8" s="1"/>
  <c r="Q17" i="8"/>
  <c r="R17" i="8" s="1"/>
  <c r="R16" i="8"/>
  <c r="Q16" i="8"/>
  <c r="Q15" i="8"/>
  <c r="Q14" i="8"/>
  <c r="Q13" i="8"/>
  <c r="R13" i="8" s="1"/>
  <c r="Q12" i="8"/>
  <c r="R12" i="8" s="1"/>
  <c r="R11" i="8"/>
  <c r="Q11" i="8"/>
  <c r="Q10" i="8"/>
  <c r="R10" i="8" s="1"/>
  <c r="Q9" i="8"/>
  <c r="R9" i="8" s="1"/>
  <c r="Q8" i="8"/>
  <c r="R8" i="8" s="1"/>
  <c r="R7" i="8"/>
  <c r="Q7" i="8"/>
  <c r="Q6" i="8"/>
  <c r="R6" i="8" s="1"/>
  <c r="Q5" i="8"/>
  <c r="Q3" i="8"/>
  <c r="N45" i="7"/>
  <c r="M45" i="7"/>
  <c r="L45" i="7"/>
  <c r="K45" i="7"/>
  <c r="J45" i="7"/>
  <c r="I45" i="7"/>
  <c r="H45" i="7"/>
  <c r="G45" i="7"/>
  <c r="F45" i="7"/>
  <c r="E45" i="7"/>
  <c r="D45" i="7"/>
  <c r="C45" i="7"/>
  <c r="O42" i="7"/>
  <c r="P42" i="7" s="1"/>
  <c r="O41" i="7"/>
  <c r="P41" i="7" s="1"/>
  <c r="O40" i="7"/>
  <c r="P40" i="7" s="1"/>
  <c r="O39" i="7"/>
  <c r="P39" i="7" s="1"/>
  <c r="O38" i="7"/>
  <c r="P38" i="7" s="1"/>
  <c r="O37" i="7"/>
  <c r="P37" i="7" s="1"/>
  <c r="O36" i="7"/>
  <c r="P36" i="7" s="1"/>
  <c r="O35" i="7"/>
  <c r="H37" i="2" s="1"/>
  <c r="O34" i="7"/>
  <c r="P34" i="7" s="1"/>
  <c r="O33" i="7"/>
  <c r="P33" i="7" s="1"/>
  <c r="O32" i="7"/>
  <c r="P32" i="7" s="1"/>
  <c r="O31" i="7"/>
  <c r="P31" i="7" s="1"/>
  <c r="O30" i="7"/>
  <c r="P30" i="7" s="1"/>
  <c r="O29" i="7"/>
  <c r="P29" i="7" s="1"/>
  <c r="O28" i="7"/>
  <c r="P28" i="7" s="1"/>
  <c r="O27" i="7"/>
  <c r="P27" i="7" s="1"/>
  <c r="O26" i="7"/>
  <c r="P26" i="7" s="1"/>
  <c r="O25" i="7"/>
  <c r="P25" i="7" s="1"/>
  <c r="O24" i="7"/>
  <c r="P24" i="7" s="1"/>
  <c r="O23" i="7"/>
  <c r="P23" i="7" s="1"/>
  <c r="O22" i="7"/>
  <c r="P22" i="7" s="1"/>
  <c r="O21" i="7"/>
  <c r="P21" i="7" s="1"/>
  <c r="O20" i="7"/>
  <c r="P20" i="7" s="1"/>
  <c r="O19" i="7"/>
  <c r="P19" i="7" s="1"/>
  <c r="O18" i="7"/>
  <c r="P18" i="7" s="1"/>
  <c r="O17" i="7"/>
  <c r="P17" i="7" s="1"/>
  <c r="O16" i="7"/>
  <c r="P16" i="7" s="1"/>
  <c r="P15" i="7"/>
  <c r="O15" i="7"/>
  <c r="O14" i="7"/>
  <c r="P14" i="7" s="1"/>
  <c r="O13" i="7"/>
  <c r="P13" i="7" s="1"/>
  <c r="O12" i="7"/>
  <c r="P12" i="7" s="1"/>
  <c r="O11" i="7"/>
  <c r="P11" i="7" s="1"/>
  <c r="O10" i="7"/>
  <c r="P10" i="7" s="1"/>
  <c r="O9" i="7"/>
  <c r="P9" i="7" s="1"/>
  <c r="O8" i="7"/>
  <c r="P8" i="7" s="1"/>
  <c r="O7" i="7"/>
  <c r="P7" i="7" s="1"/>
  <c r="O6" i="7"/>
  <c r="P6" i="7" s="1"/>
  <c r="O5" i="7"/>
  <c r="P5" i="7" s="1"/>
  <c r="O3" i="7"/>
  <c r="N45" i="6"/>
  <c r="M45" i="6"/>
  <c r="L45" i="6"/>
  <c r="K45" i="6"/>
  <c r="J45" i="6"/>
  <c r="I45" i="6"/>
  <c r="H45" i="6"/>
  <c r="G45" i="6"/>
  <c r="F45" i="6"/>
  <c r="E45" i="6"/>
  <c r="D45" i="6"/>
  <c r="C45" i="6"/>
  <c r="P42" i="6"/>
  <c r="O42" i="6"/>
  <c r="P41" i="6"/>
  <c r="O41" i="6"/>
  <c r="O40" i="6"/>
  <c r="P40" i="6" s="1"/>
  <c r="O39" i="6"/>
  <c r="G41" i="1" s="1"/>
  <c r="O38" i="6"/>
  <c r="P38" i="6" s="1"/>
  <c r="O37" i="6"/>
  <c r="G39" i="2" s="1"/>
  <c r="O36" i="6"/>
  <c r="P36" i="6" s="1"/>
  <c r="O35" i="6"/>
  <c r="P35" i="6" s="1"/>
  <c r="O34" i="6"/>
  <c r="P34" i="6" s="1"/>
  <c r="O33" i="6"/>
  <c r="G35" i="1" s="1"/>
  <c r="O32" i="6"/>
  <c r="P32" i="6" s="1"/>
  <c r="O31" i="6"/>
  <c r="P31" i="6" s="1"/>
  <c r="O30" i="6"/>
  <c r="G32" i="1" s="1"/>
  <c r="O29" i="6"/>
  <c r="P29" i="6" s="1"/>
  <c r="O28" i="6"/>
  <c r="P28" i="6" s="1"/>
  <c r="P27" i="6"/>
  <c r="O27" i="6"/>
  <c r="P26" i="6"/>
  <c r="O26" i="6"/>
  <c r="P25" i="6"/>
  <c r="O25" i="6"/>
  <c r="O24" i="6"/>
  <c r="P24" i="6" s="1"/>
  <c r="O23" i="6"/>
  <c r="G25" i="1" s="1"/>
  <c r="O22" i="6"/>
  <c r="P22" i="6" s="1"/>
  <c r="O21" i="6"/>
  <c r="G23" i="1" s="1"/>
  <c r="O20" i="6"/>
  <c r="P20" i="6" s="1"/>
  <c r="O19" i="6"/>
  <c r="P19" i="6" s="1"/>
  <c r="O18" i="6"/>
  <c r="P18" i="6" s="1"/>
  <c r="O17" i="6"/>
  <c r="P17" i="6" s="1"/>
  <c r="O16" i="6"/>
  <c r="P16" i="6" s="1"/>
  <c r="O15" i="6"/>
  <c r="P15" i="6" s="1"/>
  <c r="O14" i="6"/>
  <c r="G16" i="1" s="1"/>
  <c r="O13" i="6"/>
  <c r="G15" i="2" s="1"/>
  <c r="O12" i="6"/>
  <c r="P12" i="6" s="1"/>
  <c r="P11" i="6"/>
  <c r="O11" i="6"/>
  <c r="O10" i="6"/>
  <c r="P10" i="6" s="1"/>
  <c r="P9" i="6"/>
  <c r="O9" i="6"/>
  <c r="O8" i="6"/>
  <c r="P8" i="6" s="1"/>
  <c r="O7" i="6"/>
  <c r="G9" i="2" s="1"/>
  <c r="O6" i="6"/>
  <c r="P6" i="6" s="1"/>
  <c r="O5" i="6"/>
  <c r="P5" i="6" s="1"/>
  <c r="O3" i="6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R42" i="5"/>
  <c r="S42" i="5" s="1"/>
  <c r="R41" i="5"/>
  <c r="S41" i="5" s="1"/>
  <c r="R40" i="5"/>
  <c r="S40" i="5" s="1"/>
  <c r="R39" i="5"/>
  <c r="S39" i="5" s="1"/>
  <c r="R38" i="5"/>
  <c r="S38" i="5" s="1"/>
  <c r="R37" i="5"/>
  <c r="S37" i="5" s="1"/>
  <c r="R36" i="5"/>
  <c r="F38" i="2" s="1"/>
  <c r="R35" i="5"/>
  <c r="S35" i="5" s="1"/>
  <c r="R34" i="5"/>
  <c r="S34" i="5" s="1"/>
  <c r="R33" i="5"/>
  <c r="S33" i="5" s="1"/>
  <c r="R32" i="5"/>
  <c r="F34" i="2" s="1"/>
  <c r="R31" i="5"/>
  <c r="S31" i="5" s="1"/>
  <c r="R30" i="5"/>
  <c r="S30" i="5" s="1"/>
  <c r="R29" i="5"/>
  <c r="F31" i="2" s="1"/>
  <c r="R28" i="5"/>
  <c r="S28" i="5" s="1"/>
  <c r="R27" i="5"/>
  <c r="F29" i="1" s="1"/>
  <c r="R26" i="5"/>
  <c r="S26" i="5" s="1"/>
  <c r="R25" i="5"/>
  <c r="S25" i="5" s="1"/>
  <c r="R24" i="5"/>
  <c r="S24" i="5" s="1"/>
  <c r="R23" i="5"/>
  <c r="F25" i="2" s="1"/>
  <c r="R22" i="5"/>
  <c r="S22" i="5" s="1"/>
  <c r="R21" i="5"/>
  <c r="S21" i="5" s="1"/>
  <c r="R20" i="5"/>
  <c r="S20" i="5" s="1"/>
  <c r="R19" i="5"/>
  <c r="S19" i="5" s="1"/>
  <c r="R18" i="5"/>
  <c r="S18" i="5" s="1"/>
  <c r="R17" i="5"/>
  <c r="S17" i="5" s="1"/>
  <c r="R16" i="5"/>
  <c r="S16" i="5" s="1"/>
  <c r="S15" i="5"/>
  <c r="R15" i="5"/>
  <c r="R14" i="5"/>
  <c r="S14" i="5" s="1"/>
  <c r="R13" i="5"/>
  <c r="F15" i="1" s="1"/>
  <c r="R12" i="5"/>
  <c r="S12" i="5" s="1"/>
  <c r="R11" i="5"/>
  <c r="S11" i="5" s="1"/>
  <c r="R10" i="5"/>
  <c r="S10" i="5" s="1"/>
  <c r="R9" i="5"/>
  <c r="S9" i="5" s="1"/>
  <c r="S8" i="5"/>
  <c r="R8" i="5"/>
  <c r="R7" i="5"/>
  <c r="S7" i="5" s="1"/>
  <c r="R6" i="5"/>
  <c r="S6" i="5" s="1"/>
  <c r="R5" i="5"/>
  <c r="S5" i="5" s="1"/>
  <c r="R3" i="5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Q43" i="4"/>
  <c r="R43" i="4" s="1"/>
  <c r="Q42" i="4"/>
  <c r="R42" i="4" s="1"/>
  <c r="Q41" i="4"/>
  <c r="R41" i="4" s="1"/>
  <c r="Q40" i="4"/>
  <c r="R40" i="4" s="1"/>
  <c r="Q39" i="4"/>
  <c r="R39" i="4" s="1"/>
  <c r="Q38" i="4"/>
  <c r="R38" i="4" s="1"/>
  <c r="Q37" i="4"/>
  <c r="R37" i="4" s="1"/>
  <c r="Q36" i="4"/>
  <c r="R36" i="4" s="1"/>
  <c r="Q35" i="4"/>
  <c r="R35" i="4" s="1"/>
  <c r="Q34" i="4"/>
  <c r="R34" i="4" s="1"/>
  <c r="Q33" i="4"/>
  <c r="R33" i="4" s="1"/>
  <c r="Q32" i="4"/>
  <c r="R32" i="4" s="1"/>
  <c r="Q31" i="4"/>
  <c r="R31" i="4" s="1"/>
  <c r="Q30" i="4"/>
  <c r="R30" i="4" s="1"/>
  <c r="Q29" i="4"/>
  <c r="R29" i="4" s="1"/>
  <c r="R28" i="4"/>
  <c r="Q28" i="4"/>
  <c r="Q27" i="4"/>
  <c r="R27" i="4" s="1"/>
  <c r="Q26" i="4"/>
  <c r="R26" i="4" s="1"/>
  <c r="Q25" i="4"/>
  <c r="R25" i="4" s="1"/>
  <c r="Q24" i="4"/>
  <c r="R24" i="4" s="1"/>
  <c r="Q23" i="4"/>
  <c r="R23" i="4" s="1"/>
  <c r="Q22" i="4"/>
  <c r="R22" i="4" s="1"/>
  <c r="Q21" i="4"/>
  <c r="R21" i="4" s="1"/>
  <c r="Q20" i="4"/>
  <c r="R20" i="4" s="1"/>
  <c r="Q19" i="4"/>
  <c r="R19" i="4" s="1"/>
  <c r="Q18" i="4"/>
  <c r="R18" i="4" s="1"/>
  <c r="Q17" i="4"/>
  <c r="R17" i="4" s="1"/>
  <c r="Q16" i="4"/>
  <c r="R16" i="4" s="1"/>
  <c r="Q15" i="4"/>
  <c r="R15" i="4" s="1"/>
  <c r="Q14" i="4"/>
  <c r="R14" i="4" s="1"/>
  <c r="Q13" i="4"/>
  <c r="R13" i="4" s="1"/>
  <c r="Q12" i="4"/>
  <c r="R12" i="4" s="1"/>
  <c r="Q11" i="4"/>
  <c r="R11" i="4" s="1"/>
  <c r="Q10" i="4"/>
  <c r="R10" i="4" s="1"/>
  <c r="Q9" i="4"/>
  <c r="R9" i="4" s="1"/>
  <c r="Q8" i="4"/>
  <c r="R8" i="4" s="1"/>
  <c r="Q7" i="4"/>
  <c r="R7" i="4" s="1"/>
  <c r="Q6" i="4"/>
  <c r="R6" i="4" s="1"/>
  <c r="Q4" i="4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T43" i="3"/>
  <c r="C44" i="2" s="1"/>
  <c r="T42" i="3"/>
  <c r="U42" i="3" s="1"/>
  <c r="T41" i="3"/>
  <c r="U41" i="3" s="1"/>
  <c r="T40" i="3"/>
  <c r="U40" i="3" s="1"/>
  <c r="T39" i="3"/>
  <c r="C40" i="2" s="1"/>
  <c r="T38" i="3"/>
  <c r="U38" i="3" s="1"/>
  <c r="T37" i="3"/>
  <c r="U37" i="3" s="1"/>
  <c r="T36" i="3"/>
  <c r="U36" i="3" s="1"/>
  <c r="T35" i="3"/>
  <c r="C36" i="1" s="1"/>
  <c r="T34" i="3"/>
  <c r="U34" i="3" s="1"/>
  <c r="T33" i="3"/>
  <c r="U33" i="3" s="1"/>
  <c r="T32" i="3"/>
  <c r="U32" i="3" s="1"/>
  <c r="T31" i="3"/>
  <c r="U31" i="3" s="1"/>
  <c r="T30" i="3"/>
  <c r="U30" i="3" s="1"/>
  <c r="T29" i="3"/>
  <c r="U29" i="3" s="1"/>
  <c r="T28" i="3"/>
  <c r="U28" i="3" s="1"/>
  <c r="U27" i="3"/>
  <c r="T27" i="3"/>
  <c r="T26" i="3"/>
  <c r="U26" i="3" s="1"/>
  <c r="T25" i="3"/>
  <c r="U25" i="3" s="1"/>
  <c r="T24" i="3"/>
  <c r="U24" i="3" s="1"/>
  <c r="U23" i="3"/>
  <c r="T23" i="3"/>
  <c r="T22" i="3"/>
  <c r="U22" i="3" s="1"/>
  <c r="T21" i="3"/>
  <c r="U21" i="3" s="1"/>
  <c r="T20" i="3"/>
  <c r="U20" i="3" s="1"/>
  <c r="U19" i="3"/>
  <c r="T19" i="3"/>
  <c r="T18" i="3"/>
  <c r="U18" i="3" s="1"/>
  <c r="T17" i="3"/>
  <c r="U17" i="3" s="1"/>
  <c r="T16" i="3"/>
  <c r="U16" i="3" s="1"/>
  <c r="T15" i="3"/>
  <c r="U15" i="3" s="1"/>
  <c r="T14" i="3"/>
  <c r="U14" i="3" s="1"/>
  <c r="T13" i="3"/>
  <c r="U13" i="3" s="1"/>
  <c r="T12" i="3"/>
  <c r="U12" i="3" s="1"/>
  <c r="T11" i="3"/>
  <c r="C12" i="2" s="1"/>
  <c r="T10" i="3"/>
  <c r="U10" i="3" s="1"/>
  <c r="T9" i="3"/>
  <c r="U9" i="3" s="1"/>
  <c r="T8" i="3"/>
  <c r="U8" i="3" s="1"/>
  <c r="T7" i="3"/>
  <c r="C8" i="2" s="1"/>
  <c r="T6" i="3"/>
  <c r="U6" i="3" s="1"/>
  <c r="T4" i="3"/>
  <c r="H44" i="2"/>
  <c r="G44" i="2"/>
  <c r="G43" i="2"/>
  <c r="D43" i="2"/>
  <c r="H42" i="2"/>
  <c r="G42" i="2"/>
  <c r="C42" i="2"/>
  <c r="H41" i="2"/>
  <c r="G41" i="2"/>
  <c r="F41" i="2"/>
  <c r="D41" i="2"/>
  <c r="C41" i="2"/>
  <c r="H40" i="2"/>
  <c r="F40" i="2"/>
  <c r="D40" i="2"/>
  <c r="H39" i="2"/>
  <c r="F39" i="2"/>
  <c r="D39" i="2"/>
  <c r="C39" i="2"/>
  <c r="H38" i="2"/>
  <c r="G38" i="2"/>
  <c r="C38" i="2"/>
  <c r="G37" i="2"/>
  <c r="D37" i="2"/>
  <c r="C37" i="2"/>
  <c r="J36" i="2"/>
  <c r="H36" i="2"/>
  <c r="G36" i="2"/>
  <c r="F36" i="2"/>
  <c r="C36" i="2"/>
  <c r="F35" i="2"/>
  <c r="D35" i="2"/>
  <c r="C35" i="2"/>
  <c r="E35" i="2" s="1"/>
  <c r="H34" i="2"/>
  <c r="H33" i="2"/>
  <c r="F33" i="2"/>
  <c r="D33" i="2"/>
  <c r="J32" i="2"/>
  <c r="H32" i="2"/>
  <c r="F32" i="2"/>
  <c r="C32" i="2"/>
  <c r="H31" i="2"/>
  <c r="G31" i="2"/>
  <c r="G30" i="2"/>
  <c r="F30" i="2"/>
  <c r="C30" i="2"/>
  <c r="H29" i="2"/>
  <c r="G29" i="2"/>
  <c r="D29" i="2"/>
  <c r="E29" i="2" s="1"/>
  <c r="C29" i="2"/>
  <c r="G28" i="2"/>
  <c r="F28" i="2"/>
  <c r="D28" i="2"/>
  <c r="C28" i="2"/>
  <c r="H27" i="2"/>
  <c r="G27" i="2"/>
  <c r="J26" i="2"/>
  <c r="I26" i="2"/>
  <c r="H26" i="2"/>
  <c r="G26" i="2"/>
  <c r="F26" i="2"/>
  <c r="D26" i="2"/>
  <c r="E26" i="2" s="1"/>
  <c r="C26" i="2"/>
  <c r="H25" i="2"/>
  <c r="G25" i="2"/>
  <c r="D25" i="2"/>
  <c r="E25" i="2" s="1"/>
  <c r="C25" i="2"/>
  <c r="G24" i="2"/>
  <c r="C24" i="2"/>
  <c r="H23" i="2"/>
  <c r="F23" i="2"/>
  <c r="C23" i="2"/>
  <c r="H22" i="2"/>
  <c r="F22" i="2"/>
  <c r="D22" i="2"/>
  <c r="D21" i="2"/>
  <c r="E21" i="2" s="1"/>
  <c r="C21" i="2"/>
  <c r="D20" i="2"/>
  <c r="C20" i="2"/>
  <c r="H19" i="2"/>
  <c r="G19" i="2"/>
  <c r="F19" i="2"/>
  <c r="C19" i="2"/>
  <c r="J18" i="2"/>
  <c r="H18" i="2"/>
  <c r="F18" i="2"/>
  <c r="D18" i="2"/>
  <c r="H17" i="2"/>
  <c r="F17" i="2"/>
  <c r="C17" i="2"/>
  <c r="H16" i="2"/>
  <c r="F16" i="2"/>
  <c r="D16" i="2"/>
  <c r="C16" i="2"/>
  <c r="H15" i="2"/>
  <c r="H14" i="2"/>
  <c r="G14" i="2"/>
  <c r="D14" i="2"/>
  <c r="C14" i="2"/>
  <c r="G13" i="2"/>
  <c r="F13" i="2"/>
  <c r="D13" i="2"/>
  <c r="C13" i="2"/>
  <c r="E13" i="2" s="1"/>
  <c r="H12" i="2"/>
  <c r="G12" i="2"/>
  <c r="F12" i="2"/>
  <c r="G11" i="2"/>
  <c r="F11" i="2"/>
  <c r="C11" i="2"/>
  <c r="J10" i="2"/>
  <c r="H10" i="2"/>
  <c r="F10" i="2"/>
  <c r="C10" i="2"/>
  <c r="H9" i="2"/>
  <c r="F9" i="2"/>
  <c r="D9" i="2"/>
  <c r="C9" i="2"/>
  <c r="E9" i="2" s="1"/>
  <c r="H8" i="2"/>
  <c r="F8" i="2"/>
  <c r="D8" i="2"/>
  <c r="H7" i="2"/>
  <c r="G7" i="2"/>
  <c r="D7" i="2"/>
  <c r="H44" i="1"/>
  <c r="G44" i="1"/>
  <c r="D44" i="1"/>
  <c r="G43" i="1"/>
  <c r="H42" i="1"/>
  <c r="G42" i="1"/>
  <c r="F42" i="1"/>
  <c r="C42" i="1"/>
  <c r="H41" i="1"/>
  <c r="D41" i="1"/>
  <c r="C41" i="1"/>
  <c r="H40" i="1"/>
  <c r="D40" i="1"/>
  <c r="C40" i="1"/>
  <c r="H39" i="1"/>
  <c r="G39" i="1"/>
  <c r="F39" i="1"/>
  <c r="D39" i="1"/>
  <c r="C39" i="1"/>
  <c r="E39" i="1" s="1"/>
  <c r="H38" i="1"/>
  <c r="G38" i="1"/>
  <c r="D38" i="1"/>
  <c r="C38" i="1"/>
  <c r="E38" i="1" s="1"/>
  <c r="H37" i="1"/>
  <c r="G37" i="1"/>
  <c r="J36" i="1"/>
  <c r="H36" i="1"/>
  <c r="G36" i="1"/>
  <c r="F36" i="1"/>
  <c r="H35" i="1"/>
  <c r="C35" i="1"/>
  <c r="H34" i="1"/>
  <c r="D34" i="1"/>
  <c r="C34" i="1"/>
  <c r="H33" i="1"/>
  <c r="G33" i="1"/>
  <c r="F33" i="1"/>
  <c r="D33" i="1"/>
  <c r="C33" i="1"/>
  <c r="E33" i="1" s="1"/>
  <c r="J32" i="1"/>
  <c r="H32" i="1"/>
  <c r="F32" i="1"/>
  <c r="C32" i="1"/>
  <c r="H31" i="1"/>
  <c r="G31" i="1"/>
  <c r="D31" i="1"/>
  <c r="G30" i="1"/>
  <c r="F30" i="1"/>
  <c r="C30" i="1"/>
  <c r="H29" i="1"/>
  <c r="G29" i="1"/>
  <c r="D29" i="1"/>
  <c r="C29" i="1"/>
  <c r="E29" i="1" s="1"/>
  <c r="G28" i="1"/>
  <c r="C28" i="1"/>
  <c r="H27" i="1"/>
  <c r="G27" i="1"/>
  <c r="J26" i="1"/>
  <c r="H26" i="1"/>
  <c r="F26" i="1"/>
  <c r="D26" i="1"/>
  <c r="C26" i="1"/>
  <c r="H25" i="1"/>
  <c r="F25" i="1"/>
  <c r="D25" i="1"/>
  <c r="C25" i="1"/>
  <c r="G24" i="1"/>
  <c r="C24" i="1"/>
  <c r="H23" i="1"/>
  <c r="F23" i="1"/>
  <c r="C23" i="1"/>
  <c r="H22" i="1"/>
  <c r="F22" i="1"/>
  <c r="H21" i="1"/>
  <c r="G21" i="1"/>
  <c r="D21" i="1"/>
  <c r="C21" i="1"/>
  <c r="E21" i="1" s="1"/>
  <c r="G20" i="1"/>
  <c r="D20" i="1"/>
  <c r="C20" i="1"/>
  <c r="H19" i="1"/>
  <c r="G19" i="1"/>
  <c r="F19" i="1"/>
  <c r="C19" i="1"/>
  <c r="J18" i="1"/>
  <c r="H18" i="1"/>
  <c r="F18" i="1"/>
  <c r="H17" i="1"/>
  <c r="F17" i="1"/>
  <c r="C17" i="1"/>
  <c r="H16" i="1"/>
  <c r="D16" i="1"/>
  <c r="C16" i="1"/>
  <c r="G15" i="1"/>
  <c r="D15" i="1"/>
  <c r="G14" i="1"/>
  <c r="C14" i="1"/>
  <c r="G13" i="1"/>
  <c r="D13" i="1"/>
  <c r="C13" i="1"/>
  <c r="H12" i="1"/>
  <c r="G12" i="1"/>
  <c r="F12" i="1"/>
  <c r="G11" i="1"/>
  <c r="C11" i="1"/>
  <c r="J10" i="1"/>
  <c r="H10" i="1"/>
  <c r="G10" i="1"/>
  <c r="F10" i="1"/>
  <c r="C10" i="1"/>
  <c r="F9" i="1"/>
  <c r="D9" i="1"/>
  <c r="C9" i="1"/>
  <c r="G8" i="1"/>
  <c r="D8" i="1"/>
  <c r="C8" i="1"/>
  <c r="H7" i="1"/>
  <c r="G7" i="1"/>
  <c r="E20" i="1" l="1"/>
  <c r="E26" i="1"/>
  <c r="E13" i="1"/>
  <c r="E41" i="1"/>
  <c r="E9" i="1"/>
  <c r="J17" i="1"/>
  <c r="J17" i="2"/>
  <c r="J29" i="1"/>
  <c r="J29" i="2"/>
  <c r="J25" i="1"/>
  <c r="J25" i="2"/>
  <c r="J13" i="2"/>
  <c r="J13" i="1"/>
  <c r="J37" i="2"/>
  <c r="J37" i="1"/>
  <c r="J21" i="2"/>
  <c r="J21" i="1"/>
  <c r="J9" i="2"/>
  <c r="J9" i="1"/>
  <c r="AH7" i="9"/>
  <c r="AH15" i="9"/>
  <c r="AH23" i="9"/>
  <c r="AH31" i="9"/>
  <c r="AG13" i="9"/>
  <c r="AH33" i="9"/>
  <c r="AG37" i="9"/>
  <c r="AH14" i="9"/>
  <c r="AH22" i="9"/>
  <c r="AH30" i="9"/>
  <c r="AH34" i="9"/>
  <c r="H13" i="2"/>
  <c r="H28" i="1"/>
  <c r="H20" i="2"/>
  <c r="H28" i="2"/>
  <c r="H13" i="1"/>
  <c r="H20" i="1"/>
  <c r="H35" i="2"/>
  <c r="H8" i="1"/>
  <c r="H14" i="1"/>
  <c r="H24" i="2"/>
  <c r="I36" i="2"/>
  <c r="P35" i="7"/>
  <c r="I42" i="1"/>
  <c r="H9" i="1"/>
  <c r="H15" i="1"/>
  <c r="I15" i="1" s="1"/>
  <c r="H21" i="2"/>
  <c r="H30" i="2"/>
  <c r="H11" i="1"/>
  <c r="H43" i="2"/>
  <c r="H24" i="1"/>
  <c r="H30" i="1"/>
  <c r="I30" i="1" s="1"/>
  <c r="H11" i="2"/>
  <c r="H43" i="1"/>
  <c r="F34" i="1"/>
  <c r="F44" i="2"/>
  <c r="I44" i="2" s="1"/>
  <c r="F8" i="1"/>
  <c r="F37" i="1"/>
  <c r="I37" i="1" s="1"/>
  <c r="F21" i="2"/>
  <c r="F42" i="2"/>
  <c r="I42" i="2" s="1"/>
  <c r="F14" i="1"/>
  <c r="F28" i="1"/>
  <c r="F7" i="1"/>
  <c r="I7" i="1" s="1"/>
  <c r="I12" i="1"/>
  <c r="F35" i="1"/>
  <c r="I35" i="1" s="1"/>
  <c r="F41" i="1"/>
  <c r="I41" i="1" s="1"/>
  <c r="F27" i="2"/>
  <c r="I27" i="2" s="1"/>
  <c r="F44" i="1"/>
  <c r="I44" i="1" s="1"/>
  <c r="F37" i="2"/>
  <c r="F21" i="1"/>
  <c r="I21" i="1" s="1"/>
  <c r="K21" i="1" s="1"/>
  <c r="F27" i="1"/>
  <c r="I27" i="1" s="1"/>
  <c r="F14" i="2"/>
  <c r="I37" i="2"/>
  <c r="P33" i="6"/>
  <c r="G20" i="2"/>
  <c r="I30" i="2"/>
  <c r="I33" i="1"/>
  <c r="G40" i="1"/>
  <c r="G22" i="1"/>
  <c r="I22" i="1" s="1"/>
  <c r="G22" i="2"/>
  <c r="I19" i="2"/>
  <c r="G33" i="2"/>
  <c r="I33" i="2" s="1"/>
  <c r="G35" i="2"/>
  <c r="I35" i="2" s="1"/>
  <c r="I12" i="2"/>
  <c r="G21" i="2"/>
  <c r="G9" i="1"/>
  <c r="I39" i="1"/>
  <c r="I9" i="2"/>
  <c r="K9" i="2" s="1"/>
  <c r="I29" i="1"/>
  <c r="P7" i="6"/>
  <c r="P21" i="6"/>
  <c r="P30" i="6"/>
  <c r="P39" i="6"/>
  <c r="G17" i="1"/>
  <c r="I17" i="1" s="1"/>
  <c r="I19" i="1"/>
  <c r="G34" i="1"/>
  <c r="I11" i="2"/>
  <c r="I13" i="2"/>
  <c r="K13" i="2" s="1"/>
  <c r="I14" i="2"/>
  <c r="G16" i="2"/>
  <c r="I16" i="2" s="1"/>
  <c r="I28" i="2"/>
  <c r="G40" i="2"/>
  <c r="I40" i="2" s="1"/>
  <c r="I31" i="2"/>
  <c r="P13" i="6"/>
  <c r="I8" i="2"/>
  <c r="K8" i="2" s="1"/>
  <c r="G18" i="2"/>
  <c r="I18" i="2" s="1"/>
  <c r="G23" i="2"/>
  <c r="I23" i="2" s="1"/>
  <c r="I25" i="2"/>
  <c r="I10" i="1"/>
  <c r="I23" i="1"/>
  <c r="G26" i="1"/>
  <c r="I26" i="1" s="1"/>
  <c r="G8" i="2"/>
  <c r="G32" i="2"/>
  <c r="I32" i="2" s="1"/>
  <c r="G34" i="2"/>
  <c r="I34" i="2" s="1"/>
  <c r="P14" i="6"/>
  <c r="P23" i="6"/>
  <c r="P37" i="6"/>
  <c r="I32" i="1"/>
  <c r="I39" i="2"/>
  <c r="I25" i="1"/>
  <c r="G18" i="1"/>
  <c r="I18" i="1" s="1"/>
  <c r="G10" i="2"/>
  <c r="I10" i="2" s="1"/>
  <c r="G17" i="2"/>
  <c r="I17" i="2" s="1"/>
  <c r="I41" i="2"/>
  <c r="S36" i="5"/>
  <c r="F11" i="1"/>
  <c r="F24" i="1"/>
  <c r="F43" i="1"/>
  <c r="I22" i="2"/>
  <c r="F24" i="2"/>
  <c r="I24" i="2" s="1"/>
  <c r="F43" i="2"/>
  <c r="S23" i="5"/>
  <c r="S32" i="5"/>
  <c r="F13" i="1"/>
  <c r="F16" i="1"/>
  <c r="I16" i="1" s="1"/>
  <c r="I36" i="1"/>
  <c r="F38" i="1"/>
  <c r="I38" i="1" s="1"/>
  <c r="F7" i="2"/>
  <c r="I7" i="2" s="1"/>
  <c r="F15" i="2"/>
  <c r="I15" i="2" s="1"/>
  <c r="F40" i="1"/>
  <c r="F20" i="2"/>
  <c r="I38" i="2"/>
  <c r="S29" i="5"/>
  <c r="F29" i="2"/>
  <c r="I29" i="2" s="1"/>
  <c r="F31" i="1"/>
  <c r="I31" i="1" s="1"/>
  <c r="S13" i="5"/>
  <c r="S27" i="5"/>
  <c r="K26" i="2"/>
  <c r="F20" i="1"/>
  <c r="I20" i="1" s="1"/>
  <c r="D27" i="1"/>
  <c r="E16" i="2"/>
  <c r="E28" i="2"/>
  <c r="D34" i="2"/>
  <c r="E34" i="2" s="1"/>
  <c r="E37" i="2"/>
  <c r="D38" i="2"/>
  <c r="E38" i="2" s="1"/>
  <c r="D11" i="1"/>
  <c r="E11" i="1" s="1"/>
  <c r="D15" i="2"/>
  <c r="D19" i="2"/>
  <c r="D7" i="1"/>
  <c r="D19" i="1"/>
  <c r="E19" i="1" s="1"/>
  <c r="D22" i="1"/>
  <c r="D35" i="1"/>
  <c r="E35" i="1" s="1"/>
  <c r="D27" i="2"/>
  <c r="E39" i="2"/>
  <c r="D14" i="1"/>
  <c r="E14" i="1" s="1"/>
  <c r="D28" i="1"/>
  <c r="E28" i="1" s="1"/>
  <c r="E34" i="1"/>
  <c r="E14" i="2"/>
  <c r="E20" i="2"/>
  <c r="D30" i="2"/>
  <c r="E30" i="2" s="1"/>
  <c r="E41" i="2"/>
  <c r="D10" i="1"/>
  <c r="E10" i="1" s="1"/>
  <c r="D43" i="1"/>
  <c r="D11" i="2"/>
  <c r="E11" i="2" s="1"/>
  <c r="D17" i="2"/>
  <c r="E17" i="2" s="1"/>
  <c r="D36" i="2"/>
  <c r="E36" i="2" s="1"/>
  <c r="K36" i="2" s="1"/>
  <c r="D42" i="2"/>
  <c r="D17" i="1"/>
  <c r="E17" i="1" s="1"/>
  <c r="D23" i="1"/>
  <c r="E23" i="1" s="1"/>
  <c r="D30" i="1"/>
  <c r="E30" i="1" s="1"/>
  <c r="D37" i="1"/>
  <c r="D10" i="2"/>
  <c r="E24" i="2"/>
  <c r="D44" i="2"/>
  <c r="E44" i="2" s="1"/>
  <c r="E8" i="2"/>
  <c r="D24" i="2"/>
  <c r="D32" i="2"/>
  <c r="E32" i="2" s="1"/>
  <c r="E40" i="2"/>
  <c r="D12" i="1"/>
  <c r="D24" i="1"/>
  <c r="E24" i="1" s="1"/>
  <c r="E42" i="2"/>
  <c r="D18" i="1"/>
  <c r="E25" i="1"/>
  <c r="D32" i="1"/>
  <c r="E32" i="1" s="1"/>
  <c r="D36" i="1"/>
  <c r="E36" i="1" s="1"/>
  <c r="D42" i="1"/>
  <c r="E42" i="1" s="1"/>
  <c r="D12" i="2"/>
  <c r="E12" i="2" s="1"/>
  <c r="E19" i="2"/>
  <c r="D23" i="2"/>
  <c r="E23" i="2" s="1"/>
  <c r="D31" i="2"/>
  <c r="U35" i="3"/>
  <c r="C15" i="1"/>
  <c r="E15" i="1" s="1"/>
  <c r="C15" i="2"/>
  <c r="E15" i="2" s="1"/>
  <c r="C43" i="1"/>
  <c r="C34" i="2"/>
  <c r="C7" i="1"/>
  <c r="C22" i="1"/>
  <c r="C22" i="2"/>
  <c r="E22" i="2" s="1"/>
  <c r="C7" i="2"/>
  <c r="E7" i="2" s="1"/>
  <c r="C43" i="2"/>
  <c r="E43" i="2" s="1"/>
  <c r="E10" i="2"/>
  <c r="C18" i="1"/>
  <c r="C27" i="1"/>
  <c r="U11" i="3"/>
  <c r="U43" i="3"/>
  <c r="C31" i="1"/>
  <c r="E31" i="1" s="1"/>
  <c r="C37" i="1"/>
  <c r="C44" i="1"/>
  <c r="E44" i="1" s="1"/>
  <c r="C33" i="2"/>
  <c r="E33" i="2" s="1"/>
  <c r="E8" i="1"/>
  <c r="C12" i="1"/>
  <c r="E40" i="1"/>
  <c r="C18" i="2"/>
  <c r="E18" i="2" s="1"/>
  <c r="U7" i="3"/>
  <c r="U39" i="3"/>
  <c r="C27" i="2"/>
  <c r="E27" i="2" s="1"/>
  <c r="E16" i="1"/>
  <c r="C31" i="2"/>
  <c r="E31" i="2" s="1"/>
  <c r="J43" i="1"/>
  <c r="J43" i="2"/>
  <c r="J38" i="1"/>
  <c r="J38" i="2"/>
  <c r="J44" i="1"/>
  <c r="J44" i="2"/>
  <c r="J35" i="1"/>
  <c r="J35" i="2"/>
  <c r="J39" i="2"/>
  <c r="J39" i="1"/>
  <c r="J11" i="1"/>
  <c r="J11" i="2"/>
  <c r="J27" i="1"/>
  <c r="J27" i="2"/>
  <c r="J8" i="2"/>
  <c r="J8" i="1"/>
  <c r="J12" i="1"/>
  <c r="J12" i="2"/>
  <c r="J16" i="2"/>
  <c r="J16" i="1"/>
  <c r="J20" i="2"/>
  <c r="J20" i="1"/>
  <c r="J24" i="2"/>
  <c r="J24" i="1"/>
  <c r="J28" i="1"/>
  <c r="J28" i="2"/>
  <c r="K28" i="2" s="1"/>
  <c r="J19" i="1"/>
  <c r="J19" i="2"/>
  <c r="J40" i="2"/>
  <c r="J40" i="1"/>
  <c r="J41" i="1"/>
  <c r="J41" i="2"/>
  <c r="J42" i="1"/>
  <c r="J42" i="2"/>
  <c r="AG44" i="9"/>
  <c r="AG12" i="9"/>
  <c r="AG20" i="9"/>
  <c r="AG28" i="9"/>
  <c r="AG39" i="9"/>
  <c r="AG42" i="9"/>
  <c r="AG8" i="9"/>
  <c r="AG16" i="9"/>
  <c r="AG24" i="9"/>
  <c r="AG35" i="9"/>
  <c r="AG43" i="9"/>
  <c r="AG11" i="9"/>
  <c r="AG19" i="9"/>
  <c r="AG27" i="9"/>
  <c r="AG38" i="9"/>
  <c r="K29" i="1" l="1"/>
  <c r="I8" i="1"/>
  <c r="I40" i="1"/>
  <c r="K40" i="1" s="1"/>
  <c r="I28" i="1"/>
  <c r="K28" i="1" s="1"/>
  <c r="I14" i="1"/>
  <c r="I11" i="1"/>
  <c r="K11" i="1" s="1"/>
  <c r="I13" i="1"/>
  <c r="K13" i="1" s="1"/>
  <c r="E43" i="1"/>
  <c r="I24" i="1"/>
  <c r="K24" i="1" s="1"/>
  <c r="K26" i="1"/>
  <c r="K25" i="1"/>
  <c r="I34" i="1"/>
  <c r="E27" i="1"/>
  <c r="K27" i="1" s="1"/>
  <c r="J34" i="2"/>
  <c r="J34" i="1"/>
  <c r="K34" i="1" s="1"/>
  <c r="J23" i="1"/>
  <c r="K23" i="1" s="1"/>
  <c r="J23" i="2"/>
  <c r="K23" i="2" s="1"/>
  <c r="K39" i="2"/>
  <c r="J30" i="2"/>
  <c r="K30" i="2" s="1"/>
  <c r="J30" i="1"/>
  <c r="K30" i="1" s="1"/>
  <c r="J15" i="2"/>
  <c r="K15" i="2" s="1"/>
  <c r="J15" i="1"/>
  <c r="K15" i="1" s="1"/>
  <c r="J22" i="2"/>
  <c r="J22" i="1"/>
  <c r="J14" i="1"/>
  <c r="J14" i="2"/>
  <c r="K14" i="2" s="1"/>
  <c r="K39" i="1"/>
  <c r="J7" i="1"/>
  <c r="J7" i="2"/>
  <c r="K7" i="2" s="1"/>
  <c r="J33" i="2"/>
  <c r="J33" i="1"/>
  <c r="K33" i="1" s="1"/>
  <c r="K25" i="2"/>
  <c r="K29" i="2"/>
  <c r="J31" i="1"/>
  <c r="K31" i="1" s="1"/>
  <c r="J31" i="2"/>
  <c r="K31" i="2" s="1"/>
  <c r="I21" i="2"/>
  <c r="K21" i="2" s="1"/>
  <c r="I9" i="1"/>
  <c r="K9" i="1" s="1"/>
  <c r="I43" i="1"/>
  <c r="K19" i="1"/>
  <c r="K37" i="2"/>
  <c r="K20" i="1"/>
  <c r="I43" i="2"/>
  <c r="K43" i="2" s="1"/>
  <c r="K35" i="1"/>
  <c r="K41" i="1"/>
  <c r="I20" i="2"/>
  <c r="K20" i="2" s="1"/>
  <c r="K33" i="2"/>
  <c r="K35" i="2"/>
  <c r="K16" i="1"/>
  <c r="K38" i="1"/>
  <c r="K32" i="1"/>
  <c r="K16" i="2"/>
  <c r="K32" i="2"/>
  <c r="K18" i="2"/>
  <c r="K17" i="1"/>
  <c r="K38" i="2"/>
  <c r="K10" i="1"/>
  <c r="K17" i="2"/>
  <c r="K34" i="2"/>
  <c r="K10" i="2"/>
  <c r="K36" i="1"/>
  <c r="K22" i="2"/>
  <c r="K24" i="2"/>
  <c r="K40" i="2"/>
  <c r="E12" i="1"/>
  <c r="K12" i="1" s="1"/>
  <c r="E22" i="1"/>
  <c r="E7" i="1"/>
  <c r="K27" i="2"/>
  <c r="K19" i="2"/>
  <c r="K41" i="2"/>
  <c r="E18" i="1"/>
  <c r="K18" i="1" s="1"/>
  <c r="E37" i="1"/>
  <c r="K37" i="1" s="1"/>
  <c r="K42" i="2"/>
  <c r="K44" i="2"/>
  <c r="K42" i="1"/>
  <c r="K11" i="2"/>
  <c r="K12" i="2"/>
  <c r="K44" i="1"/>
  <c r="K8" i="1"/>
  <c r="K43" i="1" l="1"/>
  <c r="K14" i="1"/>
  <c r="K7" i="1"/>
  <c r="K22" i="1"/>
</calcChain>
</file>

<file path=xl/sharedStrings.xml><?xml version="1.0" encoding="utf-8"?>
<sst xmlns="http://schemas.openxmlformats.org/spreadsheetml/2006/main" count="455" uniqueCount="168">
  <si>
    <t>Álgebra Linear - 1.º Ano - Licenciatura em Matemática - 2025/2026</t>
  </si>
  <si>
    <t>Pesos</t>
  </si>
  <si>
    <t>Presença</t>
  </si>
  <si>
    <t>Teste</t>
  </si>
  <si>
    <t>Total de alunos: 31</t>
  </si>
  <si>
    <t>Ficha</t>
  </si>
  <si>
    <t>Média</t>
  </si>
  <si>
    <t>N.º</t>
  </si>
  <si>
    <t>Nome</t>
  </si>
  <si>
    <t>Ficha 1</t>
  </si>
  <si>
    <t>Ficha 2</t>
  </si>
  <si>
    <t>Fichas</t>
  </si>
  <si>
    <t>Teste 1</t>
  </si>
  <si>
    <t>Teste 2</t>
  </si>
  <si>
    <t>Teste 3</t>
  </si>
  <si>
    <t>Testes</t>
  </si>
  <si>
    <t>Final</t>
  </si>
  <si>
    <t>Avaliação contínua</t>
  </si>
  <si>
    <t>Exame</t>
  </si>
  <si>
    <t>Adelino Ceita</t>
  </si>
  <si>
    <t>Adilson Santos</t>
  </si>
  <si>
    <t>Admilson Fonseca</t>
  </si>
  <si>
    <t>Admilton Barros</t>
  </si>
  <si>
    <t>Adnalda Cosme</t>
  </si>
  <si>
    <t>Alex Santos</t>
  </si>
  <si>
    <t>Anazilsa Sacramento</t>
  </si>
  <si>
    <t>Anylson Oliveira</t>
  </si>
  <si>
    <t>Atanásio Quaresma</t>
  </si>
  <si>
    <t>Carla Nascimento</t>
  </si>
  <si>
    <t>Celeste Cruz</t>
  </si>
  <si>
    <t>Parte 1- Anton &amp; Rorres</t>
  </si>
  <si>
    <t>Célia Assunção</t>
  </si>
  <si>
    <t>Parte 2- Anton &amp; Rorres</t>
  </si>
  <si>
    <t>p. 23</t>
  </si>
  <si>
    <t>p. 99 e p. 115</t>
  </si>
  <si>
    <t>p. 36</t>
  </si>
  <si>
    <t>Celso Rosário</t>
  </si>
  <si>
    <t>p. 189</t>
  </si>
  <si>
    <t>p. 49</t>
  </si>
  <si>
    <t>p. 199</t>
  </si>
  <si>
    <t>p. 59</t>
  </si>
  <si>
    <t>p. 65</t>
  </si>
  <si>
    <t>p. 216</t>
  </si>
  <si>
    <t>pp. 84-85</t>
  </si>
  <si>
    <t>p. 222</t>
  </si>
  <si>
    <t>p. 303</t>
  </si>
  <si>
    <t>cotação</t>
  </si>
  <si>
    <t>Cristina Espírito Santo</t>
  </si>
  <si>
    <t>Dies Varela</t>
  </si>
  <si>
    <t>4.a</t>
  </si>
  <si>
    <t>4.b</t>
  </si>
  <si>
    <t>11.a</t>
  </si>
  <si>
    <t>13.a</t>
  </si>
  <si>
    <t>Total</t>
  </si>
  <si>
    <t>Qualitativo</t>
  </si>
  <si>
    <t>1.a</t>
  </si>
  <si>
    <t>1.b</t>
  </si>
  <si>
    <t>2.a</t>
  </si>
  <si>
    <t>3.a</t>
  </si>
  <si>
    <t>Edcarlos Fernandes</t>
  </si>
  <si>
    <t>Edulay Neves</t>
  </si>
  <si>
    <t>Eliseo Luís</t>
  </si>
  <si>
    <t>Érica Sacramento</t>
  </si>
  <si>
    <t>Gerdiley Camblé</t>
  </si>
  <si>
    <t>Gilson Boa Morte</t>
  </si>
  <si>
    <t>Hazitxi Lima</t>
  </si>
  <si>
    <t>Igualdina Andrade</t>
  </si>
  <si>
    <t>Jackwillson Barreto</t>
  </si>
  <si>
    <t>Jadmilson Rosa</t>
  </si>
  <si>
    <t>Jenilson Jordão</t>
  </si>
  <si>
    <t>Jéssica Martins</t>
  </si>
  <si>
    <t>Ledyzer Santos</t>
  </si>
  <si>
    <t>Leonardo Quaresma</t>
  </si>
  <si>
    <t>Liedson Bonfim</t>
  </si>
  <si>
    <t>Manuel Pontes</t>
  </si>
  <si>
    <t>Nelma Espírito Santo</t>
  </si>
  <si>
    <t>Ray Lima</t>
  </si>
  <si>
    <t>Susete Santos</t>
  </si>
  <si>
    <t>Valdemiro Coelho</t>
  </si>
  <si>
    <t>Vanderley Coelho</t>
  </si>
  <si>
    <t>Waldney Pereira</t>
  </si>
  <si>
    <t>Yara Paquete</t>
  </si>
  <si>
    <t>2.1.a</t>
  </si>
  <si>
    <t>2.1.b</t>
  </si>
  <si>
    <t>2.1.c</t>
  </si>
  <si>
    <t>2.1.d</t>
  </si>
  <si>
    <t>presenças</t>
  </si>
  <si>
    <t>2.</t>
  </si>
  <si>
    <t>3.</t>
  </si>
  <si>
    <t>3.º Ano</t>
  </si>
  <si>
    <t>Faltou</t>
  </si>
  <si>
    <t>Jenilson Assunção</t>
  </si>
  <si>
    <t>Presenças</t>
  </si>
  <si>
    <t>7.</t>
  </si>
  <si>
    <t>Nota</t>
  </si>
  <si>
    <t>Bioestatística - 3.º Ano _ T.ª A - Licenciatura em Enfrmagem - 2026/2027</t>
  </si>
  <si>
    <t>Márcia Rodrigues Cesário Garcês</t>
  </si>
  <si>
    <t>Henrique Quaresma Luís Lopes de Andrade</t>
  </si>
  <si>
    <t>Dalton Martins da Graça Viegas</t>
  </si>
  <si>
    <t>Rosalda Esterze da Graça Neto</t>
  </si>
  <si>
    <t>Sofia Mandú da Graça</t>
  </si>
  <si>
    <t>Kely Paulina Sequeira Bragança</t>
  </si>
  <si>
    <t>Jussara Oliveira Teixeira da Trindade</t>
  </si>
  <si>
    <t>Narla de Sousa Leal Martins</t>
  </si>
  <si>
    <t>Itelma Carvalho de Assunção Gonçalves</t>
  </si>
  <si>
    <t>Eurikcy Tomé Costa</t>
  </si>
  <si>
    <t>Abigail do Nascimento</t>
  </si>
  <si>
    <t>Betnilda Jordão Lima Dias Viana</t>
  </si>
  <si>
    <t>Luny Sousa Lopes</t>
  </si>
  <si>
    <t>Patricia de Sousa</t>
  </si>
  <si>
    <t>Atunizia Lima</t>
  </si>
  <si>
    <t>Ana Mandinga Neto</t>
  </si>
  <si>
    <t>Virtude dos Santos Silva</t>
  </si>
  <si>
    <t>Nº de Ordem</t>
  </si>
  <si>
    <t>Nome do Aluno</t>
  </si>
  <si>
    <t>Elizângela Luís Tebús</t>
  </si>
  <si>
    <t>Celmira Menezes</t>
  </si>
  <si>
    <t>Yola da Cruz</t>
  </si>
  <si>
    <t>Derley dos Ramos</t>
  </si>
  <si>
    <t>Sadam de Assunção Sacramento</t>
  </si>
  <si>
    <t>Jucilene Dias dos Ramos</t>
  </si>
  <si>
    <t>Renilton da Cruz dos Santos</t>
  </si>
  <si>
    <t>Reginaldo Neto dos Santos</t>
  </si>
  <si>
    <t>Edilazia Quaresma da Silveira Gomes</t>
  </si>
  <si>
    <t>Celmira da Conceição Martins</t>
  </si>
  <si>
    <t>Dielson de Sousa Coreia</t>
  </si>
  <si>
    <t>Noimy da Cruz Andreza</t>
  </si>
  <si>
    <t>Elcemira da Costa Assane</t>
  </si>
  <si>
    <t>Keyd Lopes D'Almeida Godinho</t>
  </si>
  <si>
    <t>Genísy Paquete da Costa Chong</t>
  </si>
  <si>
    <t>Yassuri Tereza Azevedo Carvalho</t>
  </si>
  <si>
    <t>Danilza Maria Luis Pereira</t>
  </si>
  <si>
    <t>Rute Gomes Afonso Neto</t>
  </si>
  <si>
    <t>Mirela Veloso Frederico</t>
  </si>
  <si>
    <t>Eriza Lourenço Barbosa Santana</t>
  </si>
  <si>
    <t>Edley Dais do Rosário</t>
  </si>
  <si>
    <t>Nicalina dos Anjo Neto</t>
  </si>
  <si>
    <t>Sofia Glória Aurelio</t>
  </si>
  <si>
    <t>Anita Lopes Assunção</t>
  </si>
  <si>
    <t>Diosimé Paiva Soares de Sousa</t>
  </si>
  <si>
    <t>Dainira Lisboa Amado Garrido</t>
  </si>
  <si>
    <t>Jorcileia Quaresma Nascimento Vaz do Rosário</t>
  </si>
  <si>
    <t>Guilherme Jorge Tavares Vaz Alcantara</t>
  </si>
  <si>
    <t>Lindalva dos Santos de Guadalupe</t>
  </si>
  <si>
    <t>Clariça Dias Leite</t>
  </si>
  <si>
    <t>Janete D'Assunção Batista de Sousa</t>
  </si>
  <si>
    <t>Yara Ribeiro Santiago Martins</t>
  </si>
  <si>
    <t>Ana Sofia da Silva Neto Afonso</t>
  </si>
  <si>
    <t>William Costa Silva da Fonseca</t>
  </si>
  <si>
    <t>Cláudia da Trindade David dos Ramos</t>
  </si>
  <si>
    <t>Odizildo Filipe Fernandes Teves</t>
  </si>
  <si>
    <t>Márcia Tavares do Espirito Santo Viegas</t>
  </si>
  <si>
    <t>Lúcida Viegas Mendes Varela</t>
  </si>
  <si>
    <t>Anise Trindade da Costa</t>
  </si>
  <si>
    <t>Katia D'Alva Ceita dos Ramos</t>
  </si>
  <si>
    <t>Catarina Cassandra Mendes Bonfim</t>
  </si>
  <si>
    <t>Germissa Lopes</t>
  </si>
  <si>
    <t>Inês Assunção Antonio</t>
  </si>
  <si>
    <t>Cleide Menezes</t>
  </si>
  <si>
    <t>Patrícia Jorge da Graça</t>
  </si>
  <si>
    <t>Fátima Cupertino Madre de Deus</t>
  </si>
  <si>
    <t>Alice Filipe da Conceição</t>
  </si>
  <si>
    <t>Denylze Mendes Cassandra Costa</t>
  </si>
  <si>
    <t>Denilson Coceição Borges</t>
  </si>
  <si>
    <t>Kelly da Coceição Neto gentil</t>
  </si>
  <si>
    <t>Neriltza Gabriel de Sousa Monteiro</t>
  </si>
  <si>
    <t>Kattiliana Teles Neto Ferreira</t>
  </si>
  <si>
    <t>Deynira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</si>
</sst>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m\.d\."/>
    <numFmt numFmtId="167" formatCode="dd&quot;/&quot;mm&quot;/&quot;yyyy"/>
    <numFmt numFmtId="168" formatCode="0.0%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3" fillId="0" borderId="1" xfId="0" applyFont="1" applyBorder="1"/>
    <xf numFmtId="9" fontId="2" fillId="0" borderId="1" xfId="0" applyNumberFormat="1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/>
    <xf numFmtId="0" fontId="1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5" fillId="0" borderId="1" xfId="0" applyNumberFormat="1" applyFont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1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9" fontId="1" fillId="0" borderId="0" xfId="0" applyNumberFormat="1" applyFont="1"/>
    <xf numFmtId="0" fontId="4" fillId="0" borderId="3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3" xfId="0" applyNumberFormat="1" applyFont="1" applyBorder="1" applyAlignment="1">
      <alignment horizontal="center" textRotation="90"/>
    </xf>
    <xf numFmtId="165" fontId="2" fillId="0" borderId="0" xfId="0" applyNumberFormat="1" applyFont="1"/>
    <xf numFmtId="168" fontId="2" fillId="0" borderId="0" xfId="0" applyNumberFormat="1" applyFont="1"/>
    <xf numFmtId="0" fontId="1" fillId="0" borderId="9" xfId="0" applyFont="1" applyBorder="1"/>
    <xf numFmtId="0" fontId="1" fillId="0" borderId="10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4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4" fillId="0" borderId="7" xfId="0" applyFont="1" applyBorder="1" applyAlignment="1">
      <alignment horizontal="center"/>
    </xf>
    <xf numFmtId="0" fontId="6" fillId="0" borderId="2" xfId="0" applyFont="1" applyBorder="1"/>
    <xf numFmtId="0" fontId="6" fillId="0" borderId="8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19"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cat>
            <c:strRef>
              <c:f>'Ficha 1'!$C$5:$S$5</c:f>
              <c:strCache>
                <c:ptCount val="17"/>
                <c:pt idx="0">
                  <c:v>4.a</c:v>
                </c:pt>
                <c:pt idx="1">
                  <c:v>4.b</c:v>
                </c:pt>
                <c:pt idx="2">
                  <c:v>6</c:v>
                </c:pt>
                <c:pt idx="3">
                  <c:v>7</c:v>
                </c:pt>
                <c:pt idx="4">
                  <c:v>21</c:v>
                </c:pt>
                <c:pt idx="5">
                  <c:v>4.a</c:v>
                </c:pt>
                <c:pt idx="6">
                  <c:v>11.a</c:v>
                </c:pt>
                <c:pt idx="7">
                  <c:v>13.a</c:v>
                </c:pt>
                <c:pt idx="8">
                  <c:v>4</c:v>
                </c:pt>
                <c:pt idx="9">
                  <c:v>7</c:v>
                </c:pt>
                <c:pt idx="10">
                  <c:v>12</c:v>
                </c:pt>
                <c:pt idx="11">
                  <c:v>13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13</c:v>
                </c:pt>
                <c:pt idx="16">
                  <c:v>16</c:v>
                </c:pt>
              </c:strCache>
            </c:strRef>
          </c:cat>
          <c:val>
            <c:numRef>
              <c:f>'Ficha 1'!$C$46:$S$46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5D-4E40-9B19-CC88AF7EF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878700"/>
        <c:axId val="467293639"/>
      </c:barChart>
      <c:catAx>
        <c:axId val="1708878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467293639"/>
        <c:crosses val="autoZero"/>
        <c:auto val="1"/>
        <c:lblAlgn val="ctr"/>
        <c:lblOffset val="100"/>
        <c:noMultiLvlLbl val="1"/>
      </c:catAx>
      <c:valAx>
        <c:axId val="467293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Percentagem de acertos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7088787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cat>
            <c:strRef>
              <c:f>'Ficha 2'!$C$5:$P$5</c:f>
              <c:strCache>
                <c:ptCount val="14"/>
                <c:pt idx="0">
                  <c:v>21</c:v>
                </c:pt>
                <c:pt idx="1">
                  <c:v>19</c:v>
                </c:pt>
                <c:pt idx="2">
                  <c:v>24</c:v>
                </c:pt>
                <c:pt idx="3">
                  <c:v>25</c:v>
                </c:pt>
                <c:pt idx="4">
                  <c:v>7</c:v>
                </c:pt>
                <c:pt idx="5">
                  <c:v>1.a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1.b</c:v>
                </c:pt>
                <c:pt idx="10">
                  <c:v>2.a</c:v>
                </c:pt>
                <c:pt idx="11">
                  <c:v>1</c:v>
                </c:pt>
                <c:pt idx="12">
                  <c:v>3.a</c:v>
                </c:pt>
                <c:pt idx="13">
                  <c:v>4</c:v>
                </c:pt>
              </c:strCache>
            </c:strRef>
          </c:cat>
          <c:val>
            <c:numRef>
              <c:f>'Ficha 2'!$C$6:$P$6</c:f>
              <c:numCache>
                <c:formatCode>General</c:formatCode>
                <c:ptCount val="1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95-4A1C-980D-F090134D00C9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'Ficha 2'!$C$5:$P$5</c:f>
              <c:strCache>
                <c:ptCount val="14"/>
                <c:pt idx="0">
                  <c:v>21</c:v>
                </c:pt>
                <c:pt idx="1">
                  <c:v>19</c:v>
                </c:pt>
                <c:pt idx="2">
                  <c:v>24</c:v>
                </c:pt>
                <c:pt idx="3">
                  <c:v>25</c:v>
                </c:pt>
                <c:pt idx="4">
                  <c:v>7</c:v>
                </c:pt>
                <c:pt idx="5">
                  <c:v>1.a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1.b</c:v>
                </c:pt>
                <c:pt idx="10">
                  <c:v>2.a</c:v>
                </c:pt>
                <c:pt idx="11">
                  <c:v>1</c:v>
                </c:pt>
                <c:pt idx="12">
                  <c:v>3.a</c:v>
                </c:pt>
                <c:pt idx="13">
                  <c:v>4</c:v>
                </c:pt>
              </c:strCache>
            </c:strRef>
          </c:cat>
          <c:val>
            <c:numRef>
              <c:f>'Ficha 2'!$C$46:$P$46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95-4A1C-980D-F090134D0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316705"/>
        <c:axId val="2030032999"/>
      </c:barChart>
      <c:catAx>
        <c:axId val="305316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2030032999"/>
        <c:crosses val="autoZero"/>
        <c:auto val="1"/>
        <c:lblAlgn val="ctr"/>
        <c:lblOffset val="100"/>
        <c:noMultiLvlLbl val="1"/>
      </c:catAx>
      <c:valAx>
        <c:axId val="2030032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0" i="0">
                    <a:solidFill>
                      <a:srgbClr val="000000"/>
                    </a:solidFill>
                    <a:latin typeface="+mn-lt"/>
                  </a:rPr>
                  <a:t>Percentagem de acertos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3053167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PT" b="1" i="0">
                <a:solidFill>
                  <a:srgbClr val="757575"/>
                </a:solidFill>
                <a:latin typeface="+mn-lt"/>
              </a:rPr>
              <a:t>Álgebra Linear - 1.º Teste escrito - 1.º Ano - 2025/2026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'Teste 1'!$C$4:$Q$4</c:f>
              <c:strCache>
                <c:ptCount val="15"/>
                <c:pt idx="0">
                  <c:v>1.1.</c:v>
                </c:pt>
                <c:pt idx="1">
                  <c:v>1.2.</c:v>
                </c:pt>
                <c:pt idx="2">
                  <c:v>1.3.</c:v>
                </c:pt>
                <c:pt idx="3">
                  <c:v>2.1.a</c:v>
                </c:pt>
                <c:pt idx="4">
                  <c:v>2.1.b</c:v>
                </c:pt>
                <c:pt idx="5">
                  <c:v>2.1.c</c:v>
                </c:pt>
                <c:pt idx="6">
                  <c:v>2.1.d</c:v>
                </c:pt>
                <c:pt idx="7">
                  <c:v>2.2.</c:v>
                </c:pt>
                <c:pt idx="8">
                  <c:v>3.1.</c:v>
                </c:pt>
                <c:pt idx="9">
                  <c:v>3.2.</c:v>
                </c:pt>
                <c:pt idx="10">
                  <c:v>4.1.</c:v>
                </c:pt>
                <c:pt idx="11">
                  <c:v>4.2.</c:v>
                </c:pt>
                <c:pt idx="12">
                  <c:v>5.1.</c:v>
                </c:pt>
                <c:pt idx="13">
                  <c:v>5.2.</c:v>
                </c:pt>
                <c:pt idx="14">
                  <c:v>5.3.</c:v>
                </c:pt>
              </c:strCache>
            </c:strRef>
          </c:cat>
          <c:val>
            <c:numRef>
              <c:f>'Teste 1'!$C$45:$Q$45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936-43F0-8A84-80DBF5898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437841"/>
        <c:axId val="1521993397"/>
      </c:barChart>
      <c:catAx>
        <c:axId val="1049437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pt-PT"/>
          </a:p>
        </c:txPr>
        <c:crossAx val="1521993397"/>
        <c:crosses val="autoZero"/>
        <c:auto val="1"/>
        <c:lblAlgn val="ctr"/>
        <c:lblOffset val="100"/>
        <c:noMultiLvlLbl val="1"/>
      </c:catAx>
      <c:valAx>
        <c:axId val="1521993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Percentagem da cotação total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0494378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PT" b="1" i="0">
                <a:solidFill>
                  <a:srgbClr val="757575"/>
                </a:solidFill>
                <a:latin typeface="+mn-lt"/>
              </a:rPr>
              <a:t>Álgebra Linear - 2.º Teste escrito - 1.º Ano - 2025/2026</a:t>
            </a:r>
          </a:p>
        </c:rich>
      </c:tx>
      <c:layout>
        <c:manualLayout>
          <c:xMode val="edge"/>
          <c:yMode val="edge"/>
          <c:x val="0.263826462868612"/>
          <c:y val="2.843672842781444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'Teste 2'!$C$4:$N$4</c:f>
              <c:strCache>
                <c:ptCount val="12"/>
                <c:pt idx="0">
                  <c:v>1.1.</c:v>
                </c:pt>
                <c:pt idx="1">
                  <c:v>1.2.</c:v>
                </c:pt>
                <c:pt idx="2">
                  <c:v>1.3.</c:v>
                </c:pt>
                <c:pt idx="3">
                  <c:v>2.</c:v>
                </c:pt>
                <c:pt idx="4">
                  <c:v>3.</c:v>
                </c:pt>
                <c:pt idx="5">
                  <c:v>4.1.</c:v>
                </c:pt>
                <c:pt idx="6">
                  <c:v>4.2.</c:v>
                </c:pt>
                <c:pt idx="7">
                  <c:v>5.1.</c:v>
                </c:pt>
                <c:pt idx="8">
                  <c:v>5.2.</c:v>
                </c:pt>
                <c:pt idx="9">
                  <c:v>6.1.</c:v>
                </c:pt>
                <c:pt idx="10">
                  <c:v>6.2.</c:v>
                </c:pt>
                <c:pt idx="11">
                  <c:v>6.3.</c:v>
                </c:pt>
              </c:strCache>
            </c:strRef>
          </c:cat>
          <c:val>
            <c:numRef>
              <c:f>'Teste 2'!$C$45:$N$45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69-43E5-B7E4-B6F964423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344117"/>
        <c:axId val="402656176"/>
      </c:barChart>
      <c:catAx>
        <c:axId val="628344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pt-PT"/>
          </a:p>
        </c:txPr>
        <c:crossAx val="402656176"/>
        <c:crosses val="autoZero"/>
        <c:auto val="1"/>
        <c:lblAlgn val="ctr"/>
        <c:lblOffset val="100"/>
        <c:noMultiLvlLbl val="1"/>
      </c:catAx>
      <c:valAx>
        <c:axId val="402656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Percentagem da cotação total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62834411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PT" b="1" i="0">
                <a:solidFill>
                  <a:srgbClr val="757575"/>
                </a:solidFill>
                <a:latin typeface="+mn-lt"/>
              </a:rPr>
              <a:t>Álgebra Linear - 3.º Teste escrito - 1.º Ano - 2025/2026</a:t>
            </a:r>
          </a:p>
        </c:rich>
      </c:tx>
      <c:layout>
        <c:manualLayout>
          <c:xMode val="edge"/>
          <c:yMode val="edge"/>
          <c:x val="0.263826462868612"/>
          <c:y val="2.843672842781444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'Teste 3'!$C$4:$N$4</c:f>
              <c:numCache>
                <c:formatCode>m\.d\.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46054</c:v>
                </c:pt>
                <c:pt idx="4">
                  <c:v>46055</c:v>
                </c:pt>
                <c:pt idx="5">
                  <c:v>46056</c:v>
                </c:pt>
                <c:pt idx="6">
                  <c:v>46082</c:v>
                </c:pt>
                <c:pt idx="7">
                  <c:v>46083</c:v>
                </c:pt>
                <c:pt idx="8">
                  <c:v>46113</c:v>
                </c:pt>
                <c:pt idx="9">
                  <c:v>46114</c:v>
                </c:pt>
                <c:pt idx="10">
                  <c:v>46143</c:v>
                </c:pt>
                <c:pt idx="11">
                  <c:v>46144</c:v>
                </c:pt>
              </c:numCache>
            </c:numRef>
          </c:cat>
          <c:val>
            <c:numRef>
              <c:f>'Teste 3'!$C$5:$N$5</c:f>
              <c:numCache>
                <c:formatCode>General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C4-471B-8DDF-C6F0BAF136D9}"/>
            </c:ext>
          </c:extLst>
        </c:ser>
        <c:ser>
          <c:idx val="1"/>
          <c:order val="1"/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numRef>
              <c:f>'Teste 3'!$C$4:$N$4</c:f>
              <c:numCache>
                <c:formatCode>m\.d\.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46054</c:v>
                </c:pt>
                <c:pt idx="4">
                  <c:v>46055</c:v>
                </c:pt>
                <c:pt idx="5">
                  <c:v>46056</c:v>
                </c:pt>
                <c:pt idx="6">
                  <c:v>46082</c:v>
                </c:pt>
                <c:pt idx="7">
                  <c:v>46083</c:v>
                </c:pt>
                <c:pt idx="8">
                  <c:v>46113</c:v>
                </c:pt>
                <c:pt idx="9">
                  <c:v>46114</c:v>
                </c:pt>
                <c:pt idx="10">
                  <c:v>46143</c:v>
                </c:pt>
                <c:pt idx="11">
                  <c:v>46144</c:v>
                </c:pt>
              </c:numCache>
            </c:numRef>
          </c:cat>
          <c:val>
            <c:numRef>
              <c:f>'Teste 3'!$C$6:$N$6</c:f>
              <c:numCache>
                <c:formatCode>General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C4-471B-8DDF-C6F0BAF136D9}"/>
            </c:ext>
          </c:extLst>
        </c:ser>
        <c:ser>
          <c:idx val="2"/>
          <c:order val="2"/>
          <c:spPr>
            <a:solidFill>
              <a:srgbClr val="A5A5A5"/>
            </a:solidFill>
            <a:ln cmpd="sng">
              <a:noFill/>
            </a:ln>
          </c:spPr>
          <c:invertIfNegative val="1"/>
          <c:cat>
            <c:numRef>
              <c:f>'Teste 3'!$C$4:$N$4</c:f>
              <c:numCache>
                <c:formatCode>m\.d\.</c:formatCode>
                <c:ptCount val="12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46054</c:v>
                </c:pt>
                <c:pt idx="4">
                  <c:v>46055</c:v>
                </c:pt>
                <c:pt idx="5">
                  <c:v>46056</c:v>
                </c:pt>
                <c:pt idx="6">
                  <c:v>46082</c:v>
                </c:pt>
                <c:pt idx="7">
                  <c:v>46083</c:v>
                </c:pt>
                <c:pt idx="8">
                  <c:v>46113</c:v>
                </c:pt>
                <c:pt idx="9">
                  <c:v>46114</c:v>
                </c:pt>
                <c:pt idx="10">
                  <c:v>46143</c:v>
                </c:pt>
                <c:pt idx="11">
                  <c:v>46144</c:v>
                </c:pt>
              </c:numCache>
            </c:numRef>
          </c:cat>
          <c:val>
            <c:numRef>
              <c:f>'Teste 3'!$C$45:$N$45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5C4-471B-8DDF-C6F0BAF13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772980"/>
        <c:axId val="1662709263"/>
      </c:barChart>
      <c:dateAx>
        <c:axId val="1170772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Questões</a:t>
                </a:r>
              </a:p>
            </c:rich>
          </c:tx>
          <c:overlay val="0"/>
        </c:title>
        <c:numFmt formatCode="m\.d\.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pt-PT"/>
          </a:p>
        </c:txPr>
        <c:crossAx val="1662709263"/>
        <c:crosses val="autoZero"/>
        <c:auto val="1"/>
        <c:lblOffset val="100"/>
        <c:baseTimeUnit val="days"/>
      </c:dateAx>
      <c:valAx>
        <c:axId val="1662709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b="1" i="0">
                    <a:solidFill>
                      <a:srgbClr val="000000"/>
                    </a:solidFill>
                    <a:latin typeface="+mn-lt"/>
                  </a:rPr>
                  <a:t>Percentagem da cotação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117077298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781050</xdr:colOff>
      <xdr:row>47</xdr:row>
      <xdr:rowOff>38100</xdr:rowOff>
    </xdr:from>
    <xdr:ext cx="9296400" cy="2466975"/>
    <xdr:graphicFrame macro="">
      <xdr:nvGraphicFramePr>
        <xdr:cNvPr id="442576243" name="Chart 1" title="Gráfico">
          <a:extLst>
            <a:ext uri="{FF2B5EF4-FFF2-40B4-BE49-F238E27FC236}">
              <a16:creationId xmlns:a16="http://schemas.microsoft.com/office/drawing/2014/main" id="{00000000-0008-0000-0200-0000732D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781050</xdr:colOff>
      <xdr:row>47</xdr:row>
      <xdr:rowOff>38100</xdr:rowOff>
    </xdr:from>
    <xdr:ext cx="9296400" cy="2466975"/>
    <xdr:graphicFrame macro="">
      <xdr:nvGraphicFramePr>
        <xdr:cNvPr id="1176813777" name="Chart 2" title="Gráfico">
          <a:extLst>
            <a:ext uri="{FF2B5EF4-FFF2-40B4-BE49-F238E27FC236}">
              <a16:creationId xmlns:a16="http://schemas.microsoft.com/office/drawing/2014/main" id="{00000000-0008-0000-0300-0000D1C02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46</xdr:row>
      <xdr:rowOff>19050</xdr:rowOff>
    </xdr:from>
    <xdr:ext cx="7953375" cy="3533775"/>
    <xdr:graphicFrame macro="">
      <xdr:nvGraphicFramePr>
        <xdr:cNvPr id="802662286" name="Chart 3" title="Gráfico">
          <a:extLst>
            <a:ext uri="{FF2B5EF4-FFF2-40B4-BE49-F238E27FC236}">
              <a16:creationId xmlns:a16="http://schemas.microsoft.com/office/drawing/2014/main" id="{00000000-0008-0000-0400-00008EA7D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46</xdr:row>
      <xdr:rowOff>19050</xdr:rowOff>
    </xdr:from>
    <xdr:ext cx="6477000" cy="3533775"/>
    <xdr:graphicFrame macro="">
      <xdr:nvGraphicFramePr>
        <xdr:cNvPr id="993274152" name="Chart 4" title="Gráfico">
          <a:extLst>
            <a:ext uri="{FF2B5EF4-FFF2-40B4-BE49-F238E27FC236}">
              <a16:creationId xmlns:a16="http://schemas.microsoft.com/office/drawing/2014/main" id="{00000000-0008-0000-0500-000028293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46</xdr:row>
      <xdr:rowOff>19050</xdr:rowOff>
    </xdr:from>
    <xdr:ext cx="6477000" cy="3533775"/>
    <xdr:graphicFrame macro="">
      <xdr:nvGraphicFramePr>
        <xdr:cNvPr id="1773589716" name="Chart 5" title="Gráfico">
          <a:extLst>
            <a:ext uri="{FF2B5EF4-FFF2-40B4-BE49-F238E27FC236}">
              <a16:creationId xmlns:a16="http://schemas.microsoft.com/office/drawing/2014/main" id="{00000000-0008-0000-0600-0000D4D4B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5"/>
  <sheetViews>
    <sheetView topLeftCell="A75" zoomScale="145" zoomScaleNormal="145" workbookViewId="0">
      <selection activeCell="C97" sqref="C97:C122"/>
    </sheetView>
  </sheetViews>
  <sheetFormatPr defaultColWidth="14.453125" defaultRowHeight="15" customHeight="1" x14ac:dyDescent="0.35"/>
  <cols>
    <col min="1" max="1" width="7.08984375" customWidth="1"/>
    <col min="2" max="2" width="23.453125" customWidth="1"/>
    <col min="3" max="9" width="7.54296875" customWidth="1"/>
    <col min="10" max="10" width="9.08984375" customWidth="1"/>
    <col min="11" max="11" width="8" customWidth="1"/>
    <col min="12" max="12" width="18.08984375" customWidth="1"/>
    <col min="13" max="13" width="9.08984375" customWidth="1"/>
  </cols>
  <sheetData>
    <row r="1" spans="1:13" x14ac:dyDescent="0.35">
      <c r="A1" s="1" t="s">
        <v>95</v>
      </c>
      <c r="I1" s="2"/>
      <c r="K1" s="3" t="s">
        <v>1</v>
      </c>
      <c r="L1" s="4" t="s">
        <v>2</v>
      </c>
      <c r="M1" s="5">
        <v>0.1</v>
      </c>
    </row>
    <row r="2" spans="1:13" x14ac:dyDescent="0.35">
      <c r="I2" s="2"/>
      <c r="K2" s="2"/>
      <c r="L2" s="4" t="s">
        <v>3</v>
      </c>
      <c r="M2" s="5">
        <v>0.7</v>
      </c>
    </row>
    <row r="3" spans="1:13" x14ac:dyDescent="0.35">
      <c r="A3" s="40" t="s">
        <v>4</v>
      </c>
      <c r="B3" s="41"/>
      <c r="I3" s="2"/>
      <c r="K3" s="2"/>
      <c r="L3" s="4" t="s">
        <v>5</v>
      </c>
      <c r="M3" s="5">
        <v>0.2</v>
      </c>
    </row>
    <row r="4" spans="1:13" x14ac:dyDescent="0.35">
      <c r="A4" s="6"/>
      <c r="B4" s="7"/>
      <c r="E4" s="8"/>
      <c r="I4" s="9"/>
      <c r="K4" s="9"/>
    </row>
    <row r="5" spans="1:13" x14ac:dyDescent="0.35">
      <c r="A5" s="10"/>
      <c r="B5" s="11"/>
      <c r="E5" s="12" t="s">
        <v>6</v>
      </c>
      <c r="I5" s="13" t="s">
        <v>6</v>
      </c>
      <c r="K5" s="13" t="s">
        <v>6</v>
      </c>
    </row>
    <row r="6" spans="1:13" x14ac:dyDescent="0.35">
      <c r="A6" s="14" t="s">
        <v>7</v>
      </c>
      <c r="B6" s="14" t="s">
        <v>8</v>
      </c>
      <c r="C6" s="15" t="s">
        <v>9</v>
      </c>
      <c r="D6" s="15" t="s">
        <v>10</v>
      </c>
      <c r="E6" s="12" t="s">
        <v>11</v>
      </c>
      <c r="F6" s="15" t="s">
        <v>12</v>
      </c>
      <c r="G6" s="15" t="s">
        <v>13</v>
      </c>
      <c r="H6" s="15" t="s">
        <v>14</v>
      </c>
      <c r="I6" s="13" t="s">
        <v>15</v>
      </c>
      <c r="J6" s="15" t="s">
        <v>2</v>
      </c>
      <c r="K6" s="13" t="s">
        <v>16</v>
      </c>
      <c r="L6" s="16" t="s">
        <v>17</v>
      </c>
      <c r="M6" s="16" t="s">
        <v>18</v>
      </c>
    </row>
    <row r="7" spans="1:13" x14ac:dyDescent="0.35">
      <c r="A7" s="17">
        <v>1</v>
      </c>
      <c r="B7" s="17" t="s">
        <v>19</v>
      </c>
      <c r="C7" s="15">
        <f>'Ficha 1'!T6</f>
        <v>0</v>
      </c>
      <c r="D7" s="15">
        <f>'Ficha 2'!Q6</f>
        <v>0</v>
      </c>
      <c r="E7" s="18">
        <f t="shared" ref="E7:E44" si="0">AVERAGE(C7:D7)</f>
        <v>0</v>
      </c>
      <c r="F7" s="15">
        <f>'Teste 1'!R5</f>
        <v>0</v>
      </c>
      <c r="G7" s="15">
        <f>'Teste 2'!O5</f>
        <v>0</v>
      </c>
      <c r="H7" s="15">
        <f>'Teste 3'!O5</f>
        <v>0</v>
      </c>
      <c r="I7" s="18">
        <f t="shared" ref="I7:I44" si="1">AVERAGE(F7:H7)</f>
        <v>0</v>
      </c>
      <c r="J7" s="19">
        <f>Presenças!AH7</f>
        <v>0</v>
      </c>
      <c r="K7" s="20">
        <f t="shared" ref="K7:K44" si="2">$M$3*E7+$M$2*I7+$M$1*J7</f>
        <v>0</v>
      </c>
      <c r="L7" s="16"/>
      <c r="M7" s="16"/>
    </row>
    <row r="8" spans="1:13" x14ac:dyDescent="0.35">
      <c r="A8" s="17">
        <v>2</v>
      </c>
      <c r="B8" s="17" t="s">
        <v>20</v>
      </c>
      <c r="C8" s="15">
        <f>'Ficha 1'!T7</f>
        <v>0</v>
      </c>
      <c r="D8" s="15">
        <f>'Ficha 2'!Q7</f>
        <v>0</v>
      </c>
      <c r="E8" s="18">
        <f t="shared" si="0"/>
        <v>0</v>
      </c>
      <c r="F8" s="15">
        <f>'Teste 1'!R6</f>
        <v>0</v>
      </c>
      <c r="G8" s="15">
        <f>'Teste 2'!O6</f>
        <v>0</v>
      </c>
      <c r="H8" s="15">
        <f>'Teste 3'!O6</f>
        <v>0</v>
      </c>
      <c r="I8" s="18">
        <f t="shared" si="1"/>
        <v>0</v>
      </c>
      <c r="J8" s="19">
        <f>Presenças!AH8</f>
        <v>0</v>
      </c>
      <c r="K8" s="20">
        <f t="shared" si="2"/>
        <v>0</v>
      </c>
      <c r="L8" s="16"/>
      <c r="M8" s="15"/>
    </row>
    <row r="9" spans="1:13" x14ac:dyDescent="0.35">
      <c r="A9" s="17">
        <v>3</v>
      </c>
      <c r="B9" s="17" t="s">
        <v>21</v>
      </c>
      <c r="C9" s="15">
        <f>'Ficha 1'!T8</f>
        <v>0</v>
      </c>
      <c r="D9" s="15">
        <f>'Ficha 2'!Q8</f>
        <v>0</v>
      </c>
      <c r="E9" s="18">
        <f t="shared" si="0"/>
        <v>0</v>
      </c>
      <c r="F9" s="15">
        <f>'Teste 1'!R7</f>
        <v>0</v>
      </c>
      <c r="G9" s="15">
        <f>'Teste 2'!O7</f>
        <v>0</v>
      </c>
      <c r="H9" s="15">
        <f>'Teste 3'!O7</f>
        <v>0</v>
      </c>
      <c r="I9" s="18">
        <f t="shared" si="1"/>
        <v>0</v>
      </c>
      <c r="J9" s="19">
        <f>Presenças!AH9</f>
        <v>0</v>
      </c>
      <c r="K9" s="20">
        <f t="shared" si="2"/>
        <v>0</v>
      </c>
      <c r="L9" s="16"/>
      <c r="M9" s="16"/>
    </row>
    <row r="10" spans="1:13" x14ac:dyDescent="0.35">
      <c r="A10" s="17">
        <v>4</v>
      </c>
      <c r="B10" s="17" t="s">
        <v>22</v>
      </c>
      <c r="C10" s="15">
        <f>'Ficha 1'!T9</f>
        <v>0</v>
      </c>
      <c r="D10" s="15">
        <f>'Ficha 2'!Q9</f>
        <v>0</v>
      </c>
      <c r="E10" s="18">
        <f t="shared" si="0"/>
        <v>0</v>
      </c>
      <c r="F10" s="15">
        <f>'Teste 1'!R8</f>
        <v>0</v>
      </c>
      <c r="G10" s="15">
        <f>'Teste 2'!O8</f>
        <v>0</v>
      </c>
      <c r="H10" s="15">
        <f>'Teste 3'!O8</f>
        <v>0</v>
      </c>
      <c r="I10" s="18">
        <f t="shared" si="1"/>
        <v>0</v>
      </c>
      <c r="J10" s="19">
        <f>Presenças!AH10</f>
        <v>0</v>
      </c>
      <c r="K10" s="20">
        <f t="shared" si="2"/>
        <v>0</v>
      </c>
      <c r="L10" s="16"/>
      <c r="M10" s="15"/>
    </row>
    <row r="11" spans="1:13" x14ac:dyDescent="0.35">
      <c r="A11" s="17">
        <v>5</v>
      </c>
      <c r="B11" s="17" t="s">
        <v>23</v>
      </c>
      <c r="C11" s="15">
        <f>'Ficha 1'!T10</f>
        <v>0</v>
      </c>
      <c r="D11" s="15">
        <f>'Ficha 2'!Q10</f>
        <v>0</v>
      </c>
      <c r="E11" s="18">
        <f t="shared" si="0"/>
        <v>0</v>
      </c>
      <c r="F11" s="15">
        <f>'Teste 1'!R9</f>
        <v>0</v>
      </c>
      <c r="G11" s="15">
        <f>'Teste 2'!O9</f>
        <v>0</v>
      </c>
      <c r="H11" s="15">
        <f>'Teste 3'!O9</f>
        <v>0</v>
      </c>
      <c r="I11" s="18">
        <f t="shared" si="1"/>
        <v>0</v>
      </c>
      <c r="J11" s="19">
        <f>Presenças!AH11</f>
        <v>0</v>
      </c>
      <c r="K11" s="20">
        <f t="shared" si="2"/>
        <v>0</v>
      </c>
      <c r="L11" s="16"/>
      <c r="M11" s="15"/>
    </row>
    <row r="12" spans="1:13" x14ac:dyDescent="0.35">
      <c r="A12" s="17">
        <v>6</v>
      </c>
      <c r="B12" s="17" t="s">
        <v>24</v>
      </c>
      <c r="C12" s="15">
        <f>'Ficha 1'!T11</f>
        <v>0</v>
      </c>
      <c r="D12" s="15">
        <f>'Ficha 2'!Q11</f>
        <v>0</v>
      </c>
      <c r="E12" s="18">
        <f t="shared" si="0"/>
        <v>0</v>
      </c>
      <c r="F12" s="15">
        <f>'Teste 1'!R10</f>
        <v>0</v>
      </c>
      <c r="G12" s="15">
        <f>'Teste 2'!O10</f>
        <v>0</v>
      </c>
      <c r="H12" s="15">
        <f>'Teste 3'!O10</f>
        <v>0</v>
      </c>
      <c r="I12" s="18">
        <f t="shared" si="1"/>
        <v>0</v>
      </c>
      <c r="J12" s="19">
        <f>Presenças!AH12</f>
        <v>0</v>
      </c>
      <c r="K12" s="20">
        <f t="shared" si="2"/>
        <v>0</v>
      </c>
      <c r="L12" s="16"/>
      <c r="M12" s="16"/>
    </row>
    <row r="13" spans="1:13" x14ac:dyDescent="0.35">
      <c r="A13" s="17">
        <v>7</v>
      </c>
      <c r="B13" s="17" t="s">
        <v>25</v>
      </c>
      <c r="C13" s="15">
        <f>'Ficha 1'!T12</f>
        <v>0</v>
      </c>
      <c r="D13" s="15">
        <f>'Ficha 2'!Q12</f>
        <v>0</v>
      </c>
      <c r="E13" s="18">
        <f t="shared" si="0"/>
        <v>0</v>
      </c>
      <c r="F13" s="15">
        <f>'Teste 1'!R11</f>
        <v>0</v>
      </c>
      <c r="G13" s="15">
        <f>'Teste 2'!O11</f>
        <v>0</v>
      </c>
      <c r="H13" s="15">
        <f>'Teste 3'!O11</f>
        <v>0</v>
      </c>
      <c r="I13" s="18">
        <f t="shared" si="1"/>
        <v>0</v>
      </c>
      <c r="J13" s="19">
        <f>Presenças!AH13</f>
        <v>0</v>
      </c>
      <c r="K13" s="20">
        <f t="shared" si="2"/>
        <v>0</v>
      </c>
      <c r="L13" s="16"/>
      <c r="M13" s="16"/>
    </row>
    <row r="14" spans="1:13" x14ac:dyDescent="0.35">
      <c r="A14" s="17">
        <v>8</v>
      </c>
      <c r="B14" s="17" t="s">
        <v>26</v>
      </c>
      <c r="C14" s="15">
        <f>'Ficha 1'!T13</f>
        <v>0</v>
      </c>
      <c r="D14" s="15">
        <f>'Ficha 2'!Q13</f>
        <v>0</v>
      </c>
      <c r="E14" s="18">
        <f t="shared" si="0"/>
        <v>0</v>
      </c>
      <c r="F14" s="15">
        <f>'Teste 1'!R12</f>
        <v>0</v>
      </c>
      <c r="G14" s="15">
        <f>'Teste 2'!O12</f>
        <v>0</v>
      </c>
      <c r="H14" s="15">
        <f>'Teste 3'!O12</f>
        <v>0</v>
      </c>
      <c r="I14" s="18">
        <f t="shared" si="1"/>
        <v>0</v>
      </c>
      <c r="J14" s="19">
        <f>Presenças!AH14</f>
        <v>0</v>
      </c>
      <c r="K14" s="20">
        <f t="shared" si="2"/>
        <v>0</v>
      </c>
      <c r="L14" s="16"/>
      <c r="M14" s="15"/>
    </row>
    <row r="15" spans="1:13" x14ac:dyDescent="0.35">
      <c r="A15" s="17">
        <v>9</v>
      </c>
      <c r="B15" s="17" t="s">
        <v>27</v>
      </c>
      <c r="C15" s="15">
        <f>'Ficha 1'!T14</f>
        <v>0</v>
      </c>
      <c r="D15" s="15">
        <f>'Ficha 2'!Q14</f>
        <v>0</v>
      </c>
      <c r="E15" s="18">
        <f t="shared" si="0"/>
        <v>0</v>
      </c>
      <c r="F15" s="15">
        <f>'Teste 1'!R13</f>
        <v>0</v>
      </c>
      <c r="G15" s="15">
        <f>'Teste 2'!O13</f>
        <v>0</v>
      </c>
      <c r="H15" s="15">
        <f>'Teste 3'!O13</f>
        <v>0</v>
      </c>
      <c r="I15" s="18">
        <f t="shared" si="1"/>
        <v>0</v>
      </c>
      <c r="J15" s="19">
        <f>Presenças!AH15</f>
        <v>0</v>
      </c>
      <c r="K15" s="20">
        <f t="shared" si="2"/>
        <v>0</v>
      </c>
      <c r="L15" s="16"/>
      <c r="M15" s="15"/>
    </row>
    <row r="16" spans="1:13" x14ac:dyDescent="0.35">
      <c r="A16" s="17">
        <v>10</v>
      </c>
      <c r="B16" s="17" t="s">
        <v>28</v>
      </c>
      <c r="C16" s="15">
        <f>'Ficha 1'!T15</f>
        <v>0</v>
      </c>
      <c r="D16" s="15">
        <f>'Ficha 2'!Q15</f>
        <v>0</v>
      </c>
      <c r="E16" s="18">
        <f t="shared" si="0"/>
        <v>0</v>
      </c>
      <c r="F16" s="15">
        <f>'Teste 1'!R14</f>
        <v>0</v>
      </c>
      <c r="G16" s="15">
        <f>'Teste 2'!O14</f>
        <v>0</v>
      </c>
      <c r="H16" s="15">
        <f>'Teste 3'!O14</f>
        <v>0</v>
      </c>
      <c r="I16" s="18">
        <f t="shared" si="1"/>
        <v>0</v>
      </c>
      <c r="J16" s="19">
        <f>Presenças!AH16</f>
        <v>0</v>
      </c>
      <c r="K16" s="20">
        <f t="shared" si="2"/>
        <v>0</v>
      </c>
      <c r="L16" s="16"/>
      <c r="M16" s="16"/>
    </row>
    <row r="17" spans="1:13" x14ac:dyDescent="0.35">
      <c r="A17" s="17">
        <v>11</v>
      </c>
      <c r="B17" s="17" t="s">
        <v>29</v>
      </c>
      <c r="C17" s="15">
        <f>'Ficha 1'!T16</f>
        <v>0</v>
      </c>
      <c r="D17" s="15">
        <f>'Ficha 2'!Q16</f>
        <v>0</v>
      </c>
      <c r="E17" s="18">
        <f t="shared" si="0"/>
        <v>0</v>
      </c>
      <c r="F17" s="15">
        <f>'Teste 1'!R15</f>
        <v>0</v>
      </c>
      <c r="G17" s="15">
        <f>'Teste 2'!O15</f>
        <v>0</v>
      </c>
      <c r="H17" s="15">
        <f>'Teste 3'!O15</f>
        <v>0</v>
      </c>
      <c r="I17" s="18">
        <f t="shared" si="1"/>
        <v>0</v>
      </c>
      <c r="J17" s="19">
        <f>Presenças!AH17</f>
        <v>0</v>
      </c>
      <c r="K17" s="20">
        <f t="shared" si="2"/>
        <v>0</v>
      </c>
      <c r="L17" s="16"/>
      <c r="M17" s="15"/>
    </row>
    <row r="18" spans="1:13" x14ac:dyDescent="0.35">
      <c r="A18" s="17">
        <v>12</v>
      </c>
      <c r="B18" s="17" t="s">
        <v>31</v>
      </c>
      <c r="C18" s="15">
        <f>'Ficha 1'!T17</f>
        <v>0</v>
      </c>
      <c r="D18" s="15">
        <f>'Ficha 2'!Q17</f>
        <v>0</v>
      </c>
      <c r="E18" s="18">
        <f t="shared" si="0"/>
        <v>0</v>
      </c>
      <c r="F18" s="15">
        <f>'Teste 1'!R16</f>
        <v>0</v>
      </c>
      <c r="G18" s="15">
        <f>'Teste 2'!O16</f>
        <v>0</v>
      </c>
      <c r="H18" s="15">
        <f>'Teste 3'!O16</f>
        <v>0</v>
      </c>
      <c r="I18" s="18">
        <f t="shared" si="1"/>
        <v>0</v>
      </c>
      <c r="J18" s="19">
        <f>Presenças!AH18</f>
        <v>0</v>
      </c>
      <c r="K18" s="20">
        <f t="shared" si="2"/>
        <v>0</v>
      </c>
      <c r="L18" s="16"/>
      <c r="M18" s="16"/>
    </row>
    <row r="19" spans="1:13" x14ac:dyDescent="0.35">
      <c r="A19" s="17">
        <v>13</v>
      </c>
      <c r="B19" s="17" t="s">
        <v>36</v>
      </c>
      <c r="C19" s="15">
        <f>'Ficha 1'!T18</f>
        <v>0</v>
      </c>
      <c r="D19" s="15">
        <f>'Ficha 2'!Q18</f>
        <v>0</v>
      </c>
      <c r="E19" s="18">
        <f t="shared" si="0"/>
        <v>0</v>
      </c>
      <c r="F19" s="15">
        <f>'Teste 1'!R17</f>
        <v>0</v>
      </c>
      <c r="G19" s="15">
        <f>'Teste 2'!O17</f>
        <v>0</v>
      </c>
      <c r="H19" s="15">
        <f>'Teste 3'!O17</f>
        <v>0</v>
      </c>
      <c r="I19" s="18">
        <f t="shared" si="1"/>
        <v>0</v>
      </c>
      <c r="J19" s="19">
        <f>Presenças!AH19</f>
        <v>0</v>
      </c>
      <c r="K19" s="20">
        <f t="shared" si="2"/>
        <v>0</v>
      </c>
      <c r="L19" s="16"/>
      <c r="M19" s="15"/>
    </row>
    <row r="20" spans="1:13" x14ac:dyDescent="0.35">
      <c r="A20" s="17">
        <v>14</v>
      </c>
      <c r="B20" s="17" t="s">
        <v>47</v>
      </c>
      <c r="C20" s="15">
        <f>'Ficha 1'!T19</f>
        <v>0</v>
      </c>
      <c r="D20" s="15">
        <f>'Ficha 2'!Q19</f>
        <v>0</v>
      </c>
      <c r="E20" s="18">
        <f t="shared" si="0"/>
        <v>0</v>
      </c>
      <c r="F20" s="15">
        <f>'Teste 1'!R18</f>
        <v>0</v>
      </c>
      <c r="G20" s="15">
        <f>'Teste 2'!O18</f>
        <v>0</v>
      </c>
      <c r="H20" s="15">
        <f>'Teste 3'!O18</f>
        <v>0</v>
      </c>
      <c r="I20" s="18">
        <f t="shared" si="1"/>
        <v>0</v>
      </c>
      <c r="J20" s="19">
        <f>Presenças!AH20</f>
        <v>0</v>
      </c>
      <c r="K20" s="20">
        <f t="shared" si="2"/>
        <v>0</v>
      </c>
      <c r="L20" s="16"/>
      <c r="M20" s="16"/>
    </row>
    <row r="21" spans="1:13" x14ac:dyDescent="0.35">
      <c r="A21" s="17">
        <v>15</v>
      </c>
      <c r="B21" s="17" t="s">
        <v>48</v>
      </c>
      <c r="C21" s="15">
        <f>'Ficha 1'!T20</f>
        <v>0</v>
      </c>
      <c r="D21" s="15">
        <f>'Ficha 2'!Q20</f>
        <v>0</v>
      </c>
      <c r="E21" s="18">
        <f t="shared" si="0"/>
        <v>0</v>
      </c>
      <c r="F21" s="15">
        <f>'Teste 1'!R19</f>
        <v>0</v>
      </c>
      <c r="G21" s="15">
        <f>'Teste 2'!O19</f>
        <v>0</v>
      </c>
      <c r="H21" s="15">
        <f>'Teste 3'!O19</f>
        <v>0</v>
      </c>
      <c r="I21" s="18">
        <f t="shared" si="1"/>
        <v>0</v>
      </c>
      <c r="J21" s="19">
        <f>Presenças!AH21</f>
        <v>0</v>
      </c>
      <c r="K21" s="20">
        <f t="shared" si="2"/>
        <v>0</v>
      </c>
      <c r="L21" s="16"/>
      <c r="M21" s="16"/>
    </row>
    <row r="22" spans="1:13" x14ac:dyDescent="0.35">
      <c r="A22" s="17">
        <v>16</v>
      </c>
      <c r="B22" s="17" t="s">
        <v>59</v>
      </c>
      <c r="C22" s="15">
        <f>'Ficha 1'!T21</f>
        <v>0</v>
      </c>
      <c r="D22" s="15">
        <f>'Ficha 2'!Q21</f>
        <v>0</v>
      </c>
      <c r="E22" s="18">
        <f t="shared" si="0"/>
        <v>0</v>
      </c>
      <c r="F22" s="15">
        <f>'Teste 1'!R20</f>
        <v>0</v>
      </c>
      <c r="G22" s="15">
        <f>'Teste 2'!O20</f>
        <v>0</v>
      </c>
      <c r="H22" s="15">
        <f>'Teste 3'!O20</f>
        <v>0</v>
      </c>
      <c r="I22" s="18">
        <f t="shared" si="1"/>
        <v>0</v>
      </c>
      <c r="J22" s="19">
        <f>Presenças!AH22</f>
        <v>0</v>
      </c>
      <c r="K22" s="20">
        <f t="shared" si="2"/>
        <v>0</v>
      </c>
      <c r="L22" s="16"/>
      <c r="M22" s="15"/>
    </row>
    <row r="23" spans="1:13" x14ac:dyDescent="0.35">
      <c r="A23" s="17">
        <v>17</v>
      </c>
      <c r="B23" s="17" t="s">
        <v>60</v>
      </c>
      <c r="C23" s="15">
        <f>'Ficha 1'!T22</f>
        <v>0</v>
      </c>
      <c r="D23" s="15">
        <f>'Ficha 2'!Q22</f>
        <v>0</v>
      </c>
      <c r="E23" s="18">
        <f t="shared" si="0"/>
        <v>0</v>
      </c>
      <c r="F23" s="15">
        <f>'Teste 1'!R21</f>
        <v>0</v>
      </c>
      <c r="G23" s="15">
        <f>'Teste 2'!O21</f>
        <v>0</v>
      </c>
      <c r="H23" s="15">
        <f>'Teste 3'!O21</f>
        <v>0</v>
      </c>
      <c r="I23" s="18">
        <f t="shared" si="1"/>
        <v>0</v>
      </c>
      <c r="J23" s="19">
        <f>Presenças!AH23</f>
        <v>0</v>
      </c>
      <c r="K23" s="20">
        <f t="shared" si="2"/>
        <v>0</v>
      </c>
      <c r="L23" s="16"/>
      <c r="M23" s="16"/>
    </row>
    <row r="24" spans="1:13" x14ac:dyDescent="0.35">
      <c r="A24" s="17">
        <v>18</v>
      </c>
      <c r="B24" s="17" t="s">
        <v>61</v>
      </c>
      <c r="C24" s="15">
        <f>'Ficha 1'!T23</f>
        <v>0</v>
      </c>
      <c r="D24" s="15">
        <f>'Ficha 2'!Q23</f>
        <v>0</v>
      </c>
      <c r="E24" s="18">
        <f t="shared" si="0"/>
        <v>0</v>
      </c>
      <c r="F24" s="15">
        <f>'Teste 1'!R22</f>
        <v>0</v>
      </c>
      <c r="G24" s="15">
        <f>'Teste 2'!O22</f>
        <v>0</v>
      </c>
      <c r="H24" s="15">
        <f>'Teste 3'!O22</f>
        <v>0</v>
      </c>
      <c r="I24" s="18">
        <f t="shared" si="1"/>
        <v>0</v>
      </c>
      <c r="J24" s="19">
        <f>Presenças!AH24</f>
        <v>0</v>
      </c>
      <c r="K24" s="20">
        <f t="shared" si="2"/>
        <v>0</v>
      </c>
      <c r="L24" s="16"/>
      <c r="M24" s="16"/>
    </row>
    <row r="25" spans="1:13" x14ac:dyDescent="0.35">
      <c r="A25" s="17">
        <v>19</v>
      </c>
      <c r="B25" s="17" t="s">
        <v>62</v>
      </c>
      <c r="C25" s="15">
        <f>'Ficha 1'!T24</f>
        <v>0</v>
      </c>
      <c r="D25" s="15">
        <f>'Ficha 2'!Q24</f>
        <v>0</v>
      </c>
      <c r="E25" s="18">
        <f t="shared" si="0"/>
        <v>0</v>
      </c>
      <c r="F25" s="15">
        <f>'Teste 1'!R23</f>
        <v>0</v>
      </c>
      <c r="G25" s="15">
        <f>'Teste 2'!O23</f>
        <v>0</v>
      </c>
      <c r="H25" s="15">
        <f>'Teste 3'!O23</f>
        <v>0</v>
      </c>
      <c r="I25" s="18">
        <f t="shared" si="1"/>
        <v>0</v>
      </c>
      <c r="J25" s="19">
        <f>Presenças!AH25</f>
        <v>0</v>
      </c>
      <c r="K25" s="20">
        <f t="shared" si="2"/>
        <v>0</v>
      </c>
      <c r="L25" s="16"/>
      <c r="M25" s="16"/>
    </row>
    <row r="26" spans="1:13" x14ac:dyDescent="0.35">
      <c r="A26" s="17">
        <v>20</v>
      </c>
      <c r="B26" s="17" t="s">
        <v>63</v>
      </c>
      <c r="C26" s="15">
        <f>'Ficha 1'!T25</f>
        <v>0</v>
      </c>
      <c r="D26" s="15">
        <f>'Ficha 2'!Q25</f>
        <v>0</v>
      </c>
      <c r="E26" s="18">
        <f t="shared" si="0"/>
        <v>0</v>
      </c>
      <c r="F26" s="15">
        <f>'Teste 1'!R24</f>
        <v>0</v>
      </c>
      <c r="G26" s="15">
        <f>'Teste 2'!O24</f>
        <v>0</v>
      </c>
      <c r="H26" s="15">
        <f>'Teste 3'!O24</f>
        <v>0</v>
      </c>
      <c r="I26" s="18">
        <f t="shared" si="1"/>
        <v>0</v>
      </c>
      <c r="J26" s="19">
        <f>Presenças!AH26</f>
        <v>0</v>
      </c>
      <c r="K26" s="20">
        <f t="shared" si="2"/>
        <v>0</v>
      </c>
      <c r="L26" s="16"/>
      <c r="M26" s="16"/>
    </row>
    <row r="27" spans="1:13" x14ac:dyDescent="0.35">
      <c r="A27" s="17">
        <v>21</v>
      </c>
      <c r="B27" s="17" t="s">
        <v>64</v>
      </c>
      <c r="C27" s="15">
        <f>'Ficha 1'!T26</f>
        <v>0</v>
      </c>
      <c r="D27" s="15">
        <f>'Ficha 2'!Q26</f>
        <v>0</v>
      </c>
      <c r="E27" s="18">
        <f t="shared" si="0"/>
        <v>0</v>
      </c>
      <c r="F27" s="15">
        <f>'Teste 1'!R25</f>
        <v>0</v>
      </c>
      <c r="G27" s="15">
        <f>'Teste 2'!O25</f>
        <v>0</v>
      </c>
      <c r="H27" s="15">
        <f>'Teste 3'!O25</f>
        <v>0</v>
      </c>
      <c r="I27" s="18">
        <f t="shared" si="1"/>
        <v>0</v>
      </c>
      <c r="J27" s="19">
        <f>Presenças!AH27</f>
        <v>0</v>
      </c>
      <c r="K27" s="20">
        <f t="shared" si="2"/>
        <v>0</v>
      </c>
      <c r="L27" s="16"/>
      <c r="M27" s="16"/>
    </row>
    <row r="28" spans="1:13" x14ac:dyDescent="0.35">
      <c r="A28" s="17">
        <v>22</v>
      </c>
      <c r="B28" s="17" t="s">
        <v>65</v>
      </c>
      <c r="C28" s="15">
        <f>'Ficha 1'!T27</f>
        <v>0</v>
      </c>
      <c r="D28" s="15">
        <f>'Ficha 2'!Q27</f>
        <v>0</v>
      </c>
      <c r="E28" s="18">
        <f t="shared" si="0"/>
        <v>0</v>
      </c>
      <c r="F28" s="15">
        <f>'Teste 1'!R26</f>
        <v>0</v>
      </c>
      <c r="G28" s="15">
        <f>'Teste 2'!O26</f>
        <v>0</v>
      </c>
      <c r="H28" s="15">
        <f>'Teste 3'!O26</f>
        <v>0</v>
      </c>
      <c r="I28" s="18">
        <f t="shared" si="1"/>
        <v>0</v>
      </c>
      <c r="J28" s="19">
        <f>Presenças!AH28</f>
        <v>0</v>
      </c>
      <c r="K28" s="20">
        <f t="shared" si="2"/>
        <v>0</v>
      </c>
      <c r="L28" s="16"/>
      <c r="M28" s="15"/>
    </row>
    <row r="29" spans="1:13" x14ac:dyDescent="0.35">
      <c r="A29" s="17">
        <v>23</v>
      </c>
      <c r="B29" s="17" t="s">
        <v>66</v>
      </c>
      <c r="C29" s="15">
        <f>'Ficha 1'!T28</f>
        <v>0</v>
      </c>
      <c r="D29" s="15">
        <f>'Ficha 2'!Q28</f>
        <v>0</v>
      </c>
      <c r="E29" s="18">
        <f t="shared" si="0"/>
        <v>0</v>
      </c>
      <c r="F29" s="15">
        <f>'Teste 1'!R27</f>
        <v>0</v>
      </c>
      <c r="G29" s="15">
        <f>'Teste 2'!O27</f>
        <v>0</v>
      </c>
      <c r="H29" s="15">
        <f>'Teste 3'!O27</f>
        <v>0</v>
      </c>
      <c r="I29" s="18">
        <f t="shared" si="1"/>
        <v>0</v>
      </c>
      <c r="J29" s="19">
        <f>Presenças!AH29</f>
        <v>0</v>
      </c>
      <c r="K29" s="20">
        <f t="shared" si="2"/>
        <v>0</v>
      </c>
      <c r="L29" s="16"/>
      <c r="M29" s="16"/>
    </row>
    <row r="30" spans="1:13" x14ac:dyDescent="0.35">
      <c r="A30" s="17">
        <v>24</v>
      </c>
      <c r="B30" s="17" t="s">
        <v>67</v>
      </c>
      <c r="C30" s="15">
        <f>'Ficha 1'!T29</f>
        <v>0</v>
      </c>
      <c r="D30" s="15">
        <f>'Ficha 2'!Q29</f>
        <v>0</v>
      </c>
      <c r="E30" s="18">
        <f t="shared" si="0"/>
        <v>0</v>
      </c>
      <c r="F30" s="15">
        <f>'Teste 1'!R28</f>
        <v>0</v>
      </c>
      <c r="G30" s="15">
        <f>'Teste 2'!O28</f>
        <v>0</v>
      </c>
      <c r="H30" s="15">
        <f>'Teste 3'!O28</f>
        <v>0</v>
      </c>
      <c r="I30" s="18">
        <f t="shared" si="1"/>
        <v>0</v>
      </c>
      <c r="J30" s="19">
        <f>Presenças!AH30</f>
        <v>0</v>
      </c>
      <c r="K30" s="20">
        <f t="shared" si="2"/>
        <v>0</v>
      </c>
      <c r="L30" s="16"/>
      <c r="M30" s="16"/>
    </row>
    <row r="31" spans="1:13" x14ac:dyDescent="0.35">
      <c r="A31" s="17">
        <v>25</v>
      </c>
      <c r="B31" s="17" t="s">
        <v>68</v>
      </c>
      <c r="C31" s="15">
        <f>'Ficha 1'!T30</f>
        <v>0</v>
      </c>
      <c r="D31" s="15">
        <f>'Ficha 2'!Q30</f>
        <v>0</v>
      </c>
      <c r="E31" s="18">
        <f t="shared" si="0"/>
        <v>0</v>
      </c>
      <c r="F31" s="15">
        <f>'Teste 1'!R29</f>
        <v>0</v>
      </c>
      <c r="G31" s="15">
        <f>'Teste 2'!O29</f>
        <v>0</v>
      </c>
      <c r="H31" s="15">
        <f>'Teste 3'!O29</f>
        <v>0</v>
      </c>
      <c r="I31" s="18">
        <f t="shared" si="1"/>
        <v>0</v>
      </c>
      <c r="J31" s="19">
        <f>Presenças!AH31</f>
        <v>0</v>
      </c>
      <c r="K31" s="20">
        <f t="shared" si="2"/>
        <v>0</v>
      </c>
      <c r="L31" s="16"/>
      <c r="M31" s="15"/>
    </row>
    <row r="32" spans="1:13" x14ac:dyDescent="0.35">
      <c r="A32" s="17">
        <v>26</v>
      </c>
      <c r="B32" s="17" t="s">
        <v>69</v>
      </c>
      <c r="C32" s="15">
        <f>'Ficha 1'!T31</f>
        <v>0</v>
      </c>
      <c r="D32" s="15">
        <f>'Ficha 2'!Q31</f>
        <v>0</v>
      </c>
      <c r="E32" s="18">
        <f t="shared" si="0"/>
        <v>0</v>
      </c>
      <c r="F32" s="15">
        <f>'Teste 1'!R30</f>
        <v>0</v>
      </c>
      <c r="G32" s="15">
        <f>'Teste 2'!O30</f>
        <v>0</v>
      </c>
      <c r="H32" s="15">
        <f>'Teste 3'!O30</f>
        <v>0</v>
      </c>
      <c r="I32" s="18">
        <f t="shared" si="1"/>
        <v>0</v>
      </c>
      <c r="J32" s="19">
        <f>Presenças!AH32</f>
        <v>0</v>
      </c>
      <c r="K32" s="20">
        <f t="shared" si="2"/>
        <v>0</v>
      </c>
      <c r="L32" s="16"/>
      <c r="M32" s="16"/>
    </row>
    <row r="33" spans="1:13" x14ac:dyDescent="0.35">
      <c r="A33" s="17">
        <v>27</v>
      </c>
      <c r="B33" s="17" t="s">
        <v>70</v>
      </c>
      <c r="C33" s="15">
        <f>'Ficha 1'!T32</f>
        <v>0</v>
      </c>
      <c r="D33" s="15">
        <f>'Ficha 2'!Q32</f>
        <v>0</v>
      </c>
      <c r="E33" s="18">
        <f t="shared" si="0"/>
        <v>0</v>
      </c>
      <c r="F33" s="15">
        <f>'Teste 1'!R31</f>
        <v>0</v>
      </c>
      <c r="G33" s="15">
        <f>'Teste 2'!O31</f>
        <v>0</v>
      </c>
      <c r="H33" s="15">
        <f>'Teste 3'!O31</f>
        <v>0</v>
      </c>
      <c r="I33" s="18">
        <f t="shared" si="1"/>
        <v>0</v>
      </c>
      <c r="J33" s="19">
        <f>Presenças!AH33</f>
        <v>0</v>
      </c>
      <c r="K33" s="20">
        <f t="shared" si="2"/>
        <v>0</v>
      </c>
      <c r="L33" s="16"/>
      <c r="M33" s="15"/>
    </row>
    <row r="34" spans="1:13" x14ac:dyDescent="0.35">
      <c r="A34" s="17">
        <v>28</v>
      </c>
      <c r="B34" s="17" t="s">
        <v>71</v>
      </c>
      <c r="C34" s="15">
        <f>'Ficha 1'!T33</f>
        <v>0</v>
      </c>
      <c r="D34" s="15">
        <f>'Ficha 2'!Q33</f>
        <v>0</v>
      </c>
      <c r="E34" s="18">
        <f t="shared" si="0"/>
        <v>0</v>
      </c>
      <c r="F34" s="15">
        <f>'Teste 1'!R32</f>
        <v>0</v>
      </c>
      <c r="G34" s="15">
        <f>'Teste 2'!O32</f>
        <v>0</v>
      </c>
      <c r="H34" s="15">
        <f>'Teste 3'!O32</f>
        <v>0</v>
      </c>
      <c r="I34" s="18">
        <f t="shared" si="1"/>
        <v>0</v>
      </c>
      <c r="J34" s="19">
        <f>Presenças!AH34</f>
        <v>0</v>
      </c>
      <c r="K34" s="20">
        <f t="shared" si="2"/>
        <v>0</v>
      </c>
      <c r="L34" s="16"/>
      <c r="M34" s="15"/>
    </row>
    <row r="35" spans="1:13" x14ac:dyDescent="0.35">
      <c r="A35" s="17">
        <v>29</v>
      </c>
      <c r="B35" s="17" t="s">
        <v>72</v>
      </c>
      <c r="C35" s="15">
        <f>'Ficha 1'!T34</f>
        <v>0</v>
      </c>
      <c r="D35" s="15">
        <f>'Ficha 2'!Q34</f>
        <v>0</v>
      </c>
      <c r="E35" s="18">
        <f t="shared" si="0"/>
        <v>0</v>
      </c>
      <c r="F35" s="15">
        <f>'Teste 1'!R33</f>
        <v>0</v>
      </c>
      <c r="G35" s="15">
        <f>'Teste 2'!O33</f>
        <v>0</v>
      </c>
      <c r="H35" s="15">
        <f>'Teste 3'!O33</f>
        <v>0</v>
      </c>
      <c r="I35" s="18">
        <f t="shared" si="1"/>
        <v>0</v>
      </c>
      <c r="J35" s="19">
        <f>Presenças!AH35</f>
        <v>0</v>
      </c>
      <c r="K35" s="20">
        <f t="shared" si="2"/>
        <v>0</v>
      </c>
      <c r="L35" s="16"/>
      <c r="M35" s="16"/>
    </row>
    <row r="36" spans="1:13" x14ac:dyDescent="0.35">
      <c r="A36" s="17">
        <v>30</v>
      </c>
      <c r="B36" s="17" t="s">
        <v>73</v>
      </c>
      <c r="C36" s="15">
        <f>'Ficha 1'!T35</f>
        <v>0</v>
      </c>
      <c r="D36" s="15">
        <f>'Ficha 2'!Q35</f>
        <v>0</v>
      </c>
      <c r="E36" s="18">
        <f t="shared" si="0"/>
        <v>0</v>
      </c>
      <c r="F36" s="15">
        <f>'Teste 1'!R34</f>
        <v>0</v>
      </c>
      <c r="G36" s="15">
        <f>'Teste 2'!O34</f>
        <v>0</v>
      </c>
      <c r="H36" s="15">
        <f>'Teste 3'!O34</f>
        <v>0</v>
      </c>
      <c r="I36" s="18">
        <f t="shared" si="1"/>
        <v>0</v>
      </c>
      <c r="J36" s="19">
        <f>Presenças!AH36</f>
        <v>0</v>
      </c>
      <c r="K36" s="20">
        <f t="shared" si="2"/>
        <v>0</v>
      </c>
      <c r="L36" s="16"/>
      <c r="M36" s="15"/>
    </row>
    <row r="37" spans="1:13" x14ac:dyDescent="0.35">
      <c r="A37" s="17">
        <v>31</v>
      </c>
      <c r="B37" s="17" t="s">
        <v>74</v>
      </c>
      <c r="C37" s="15">
        <f>'Ficha 1'!T36</f>
        <v>0</v>
      </c>
      <c r="D37" s="15">
        <f>'Ficha 2'!Q36</f>
        <v>0</v>
      </c>
      <c r="E37" s="18">
        <f t="shared" si="0"/>
        <v>0</v>
      </c>
      <c r="F37" s="15">
        <f>'Teste 1'!R35</f>
        <v>0</v>
      </c>
      <c r="G37" s="15">
        <f>'Teste 2'!O35</f>
        <v>0</v>
      </c>
      <c r="H37" s="15">
        <f>'Teste 3'!O35</f>
        <v>0</v>
      </c>
      <c r="I37" s="18">
        <f t="shared" si="1"/>
        <v>0</v>
      </c>
      <c r="J37" s="19">
        <f>Presenças!AH37</f>
        <v>0</v>
      </c>
      <c r="K37" s="20">
        <f t="shared" si="2"/>
        <v>0</v>
      </c>
      <c r="L37" s="16"/>
      <c r="M37" s="16"/>
    </row>
    <row r="38" spans="1:13" x14ac:dyDescent="0.35">
      <c r="A38" s="17">
        <v>32</v>
      </c>
      <c r="B38" s="17" t="s">
        <v>75</v>
      </c>
      <c r="C38" s="15">
        <f>'Ficha 1'!T37</f>
        <v>0</v>
      </c>
      <c r="D38" s="15">
        <f>'Ficha 2'!Q37</f>
        <v>0</v>
      </c>
      <c r="E38" s="18">
        <f t="shared" si="0"/>
        <v>0</v>
      </c>
      <c r="F38" s="15">
        <f>'Teste 1'!R36</f>
        <v>0</v>
      </c>
      <c r="G38" s="15">
        <f>'Teste 2'!O36</f>
        <v>0</v>
      </c>
      <c r="H38" s="15">
        <f>'Teste 3'!O36</f>
        <v>0</v>
      </c>
      <c r="I38" s="18">
        <f t="shared" si="1"/>
        <v>0</v>
      </c>
      <c r="J38" s="19">
        <f>Presenças!AH38</f>
        <v>0</v>
      </c>
      <c r="K38" s="20">
        <f t="shared" si="2"/>
        <v>0</v>
      </c>
      <c r="L38" s="16"/>
      <c r="M38" s="16"/>
    </row>
    <row r="39" spans="1:13" x14ac:dyDescent="0.35">
      <c r="A39" s="17">
        <v>33</v>
      </c>
      <c r="B39" s="17" t="s">
        <v>76</v>
      </c>
      <c r="C39" s="15">
        <f>'Ficha 1'!T38</f>
        <v>0</v>
      </c>
      <c r="D39" s="15">
        <f>'Ficha 2'!Q38</f>
        <v>0</v>
      </c>
      <c r="E39" s="18">
        <f t="shared" si="0"/>
        <v>0</v>
      </c>
      <c r="F39" s="15">
        <f>'Teste 1'!R37</f>
        <v>0</v>
      </c>
      <c r="G39" s="15">
        <f>'Teste 2'!O37</f>
        <v>0</v>
      </c>
      <c r="H39" s="15">
        <f>'Teste 3'!O37</f>
        <v>0</v>
      </c>
      <c r="I39" s="18">
        <f t="shared" si="1"/>
        <v>0</v>
      </c>
      <c r="J39" s="19">
        <f>Presenças!AH39</f>
        <v>0</v>
      </c>
      <c r="K39" s="20">
        <f t="shared" si="2"/>
        <v>0</v>
      </c>
      <c r="L39" s="16"/>
      <c r="M39" s="16"/>
    </row>
    <row r="40" spans="1:13" x14ac:dyDescent="0.35">
      <c r="A40" s="17">
        <v>34</v>
      </c>
      <c r="B40" s="17" t="s">
        <v>77</v>
      </c>
      <c r="C40" s="15">
        <f>'Ficha 1'!T39</f>
        <v>0</v>
      </c>
      <c r="D40" s="15">
        <f>'Ficha 2'!Q39</f>
        <v>0</v>
      </c>
      <c r="E40" s="18">
        <f t="shared" si="0"/>
        <v>0</v>
      </c>
      <c r="F40" s="15">
        <f>'Teste 1'!R38</f>
        <v>0</v>
      </c>
      <c r="G40" s="15">
        <f>'Teste 2'!O38</f>
        <v>0</v>
      </c>
      <c r="H40" s="15">
        <f>'Teste 3'!O38</f>
        <v>0</v>
      </c>
      <c r="I40" s="18">
        <f t="shared" si="1"/>
        <v>0</v>
      </c>
      <c r="J40" s="19">
        <f>Presenças!AH40</f>
        <v>0</v>
      </c>
      <c r="K40" s="20">
        <f t="shared" si="2"/>
        <v>0</v>
      </c>
      <c r="L40" s="16"/>
      <c r="M40" s="16"/>
    </row>
    <row r="41" spans="1:13" x14ac:dyDescent="0.35">
      <c r="A41" s="17">
        <v>35</v>
      </c>
      <c r="B41" s="17" t="s">
        <v>78</v>
      </c>
      <c r="C41" s="15">
        <f>'Ficha 1'!T40</f>
        <v>0</v>
      </c>
      <c r="D41" s="15">
        <f>'Ficha 2'!Q40</f>
        <v>0</v>
      </c>
      <c r="E41" s="18">
        <f t="shared" si="0"/>
        <v>0</v>
      </c>
      <c r="F41" s="15">
        <f>'Teste 1'!R39</f>
        <v>0</v>
      </c>
      <c r="G41" s="15">
        <f>'Teste 2'!O39</f>
        <v>0</v>
      </c>
      <c r="H41" s="15">
        <f>'Teste 3'!O39</f>
        <v>0</v>
      </c>
      <c r="I41" s="18">
        <f t="shared" si="1"/>
        <v>0</v>
      </c>
      <c r="J41" s="19">
        <f>Presenças!AH41</f>
        <v>0</v>
      </c>
      <c r="K41" s="20">
        <f t="shared" si="2"/>
        <v>0</v>
      </c>
      <c r="L41" s="16"/>
      <c r="M41" s="16"/>
    </row>
    <row r="42" spans="1:13" x14ac:dyDescent="0.35">
      <c r="A42" s="17">
        <v>36</v>
      </c>
      <c r="B42" s="17" t="s">
        <v>79</v>
      </c>
      <c r="C42" s="15">
        <f>'Ficha 1'!T41</f>
        <v>0</v>
      </c>
      <c r="D42" s="15">
        <f>'Ficha 2'!Q41</f>
        <v>0</v>
      </c>
      <c r="E42" s="18">
        <f t="shared" si="0"/>
        <v>0</v>
      </c>
      <c r="F42" s="15">
        <f>'Teste 1'!R40</f>
        <v>0</v>
      </c>
      <c r="G42" s="15">
        <f>'Teste 2'!O40</f>
        <v>0</v>
      </c>
      <c r="H42" s="15">
        <f>'Teste 3'!O40</f>
        <v>0</v>
      </c>
      <c r="I42" s="18">
        <f t="shared" si="1"/>
        <v>0</v>
      </c>
      <c r="J42" s="19">
        <f>Presenças!AH42</f>
        <v>0</v>
      </c>
      <c r="K42" s="20">
        <f t="shared" si="2"/>
        <v>0</v>
      </c>
      <c r="L42" s="16"/>
      <c r="M42" s="16"/>
    </row>
    <row r="43" spans="1:13" x14ac:dyDescent="0.35">
      <c r="A43" s="17">
        <v>37</v>
      </c>
      <c r="B43" s="17" t="s">
        <v>80</v>
      </c>
      <c r="C43" s="15">
        <f>'Ficha 1'!T42</f>
        <v>0</v>
      </c>
      <c r="D43" s="15">
        <f>'Ficha 2'!Q42</f>
        <v>0</v>
      </c>
      <c r="E43" s="18">
        <f t="shared" si="0"/>
        <v>0</v>
      </c>
      <c r="F43" s="15">
        <f>'Teste 1'!R41</f>
        <v>0</v>
      </c>
      <c r="G43" s="15">
        <f>'Teste 2'!O41</f>
        <v>0</v>
      </c>
      <c r="H43" s="15">
        <f>'Teste 3'!O41</f>
        <v>0</v>
      </c>
      <c r="I43" s="18">
        <f t="shared" si="1"/>
        <v>0</v>
      </c>
      <c r="J43" s="19">
        <f>Presenças!AH43</f>
        <v>0</v>
      </c>
      <c r="K43" s="20">
        <f t="shared" si="2"/>
        <v>0</v>
      </c>
      <c r="L43" s="16"/>
      <c r="M43" s="16"/>
    </row>
    <row r="44" spans="1:13" x14ac:dyDescent="0.35">
      <c r="A44" s="17">
        <v>38</v>
      </c>
      <c r="B44" s="17" t="s">
        <v>81</v>
      </c>
      <c r="C44" s="15">
        <f>'Ficha 1'!T43</f>
        <v>0</v>
      </c>
      <c r="D44" s="15">
        <f>'Ficha 2'!Q43</f>
        <v>0</v>
      </c>
      <c r="E44" s="18">
        <f t="shared" si="0"/>
        <v>0</v>
      </c>
      <c r="F44" s="15">
        <f>'Teste 1'!R42</f>
        <v>0</v>
      </c>
      <c r="G44" s="15">
        <f>'Teste 2'!O42</f>
        <v>0</v>
      </c>
      <c r="H44" s="15">
        <f>'Teste 3'!O42</f>
        <v>0</v>
      </c>
      <c r="I44" s="18">
        <f t="shared" si="1"/>
        <v>0</v>
      </c>
      <c r="J44" s="19">
        <f>Presenças!AH44</f>
        <v>0</v>
      </c>
      <c r="K44" s="20">
        <f t="shared" si="2"/>
        <v>0</v>
      </c>
      <c r="L44" s="16"/>
      <c r="M44" s="16"/>
    </row>
    <row r="45" spans="1:13" x14ac:dyDescent="0.35">
      <c r="I45" s="2"/>
      <c r="K45" s="2"/>
    </row>
    <row r="46" spans="1:13" x14ac:dyDescent="0.35">
      <c r="I46" s="2"/>
      <c r="K46" s="2"/>
    </row>
    <row r="47" spans="1:13" x14ac:dyDescent="0.35">
      <c r="I47" s="2"/>
      <c r="K47" s="2"/>
    </row>
    <row r="48" spans="1:13" x14ac:dyDescent="0.35">
      <c r="B48" t="s">
        <v>113</v>
      </c>
      <c r="C48" t="s">
        <v>114</v>
      </c>
      <c r="I48" s="2"/>
      <c r="K48" s="2"/>
    </row>
    <row r="49" spans="2:11" x14ac:dyDescent="0.35">
      <c r="B49">
        <v>170</v>
      </c>
      <c r="C49" t="s">
        <v>96</v>
      </c>
      <c r="I49" s="2"/>
      <c r="K49" s="2"/>
    </row>
    <row r="50" spans="2:11" x14ac:dyDescent="0.35">
      <c r="B50">
        <v>175</v>
      </c>
      <c r="C50" t="s">
        <v>97</v>
      </c>
      <c r="I50" s="2"/>
      <c r="K50" s="2"/>
    </row>
    <row r="51" spans="2:11" x14ac:dyDescent="0.35">
      <c r="B51">
        <v>179</v>
      </c>
      <c r="C51" t="s">
        <v>98</v>
      </c>
      <c r="I51" s="2"/>
      <c r="K51" s="2"/>
    </row>
    <row r="52" spans="2:11" x14ac:dyDescent="0.35">
      <c r="B52">
        <v>185</v>
      </c>
      <c r="C52" t="s">
        <v>99</v>
      </c>
      <c r="I52" s="2"/>
      <c r="K52" s="2"/>
    </row>
    <row r="53" spans="2:11" x14ac:dyDescent="0.35">
      <c r="B53">
        <v>186</v>
      </c>
      <c r="C53" t="s">
        <v>100</v>
      </c>
      <c r="I53" s="2"/>
      <c r="K53" s="2"/>
    </row>
    <row r="54" spans="2:11" x14ac:dyDescent="0.35">
      <c r="B54">
        <v>187</v>
      </c>
      <c r="C54" t="s">
        <v>101</v>
      </c>
      <c r="I54" s="2"/>
      <c r="K54" s="2"/>
    </row>
    <row r="55" spans="2:11" x14ac:dyDescent="0.35">
      <c r="B55">
        <v>191</v>
      </c>
      <c r="C55" t="s">
        <v>102</v>
      </c>
      <c r="I55" s="2"/>
      <c r="K55" s="2"/>
    </row>
    <row r="56" spans="2:11" x14ac:dyDescent="0.35">
      <c r="B56">
        <v>193</v>
      </c>
      <c r="C56" t="s">
        <v>103</v>
      </c>
      <c r="I56" s="2"/>
      <c r="K56" s="2"/>
    </row>
    <row r="57" spans="2:11" x14ac:dyDescent="0.35">
      <c r="B57">
        <v>194</v>
      </c>
      <c r="C57" t="s">
        <v>104</v>
      </c>
      <c r="I57" s="2"/>
      <c r="K57" s="2"/>
    </row>
    <row r="58" spans="2:11" x14ac:dyDescent="0.35">
      <c r="B58">
        <v>75</v>
      </c>
      <c r="C58" t="s">
        <v>105</v>
      </c>
      <c r="I58" s="2"/>
      <c r="K58" s="2"/>
    </row>
    <row r="59" spans="2:11" x14ac:dyDescent="0.35">
      <c r="B59">
        <v>119</v>
      </c>
      <c r="C59" t="s">
        <v>106</v>
      </c>
      <c r="I59" s="2"/>
      <c r="K59" s="2"/>
    </row>
    <row r="60" spans="2:11" x14ac:dyDescent="0.35">
      <c r="B60">
        <v>126</v>
      </c>
      <c r="C60" t="s">
        <v>107</v>
      </c>
      <c r="I60" s="2"/>
      <c r="K60" s="2"/>
    </row>
    <row r="61" spans="2:11" x14ac:dyDescent="0.35">
      <c r="B61">
        <v>144</v>
      </c>
      <c r="C61" t="s">
        <v>108</v>
      </c>
      <c r="I61" s="2"/>
      <c r="K61" s="2"/>
    </row>
    <row r="62" spans="2:11" x14ac:dyDescent="0.35">
      <c r="B62">
        <v>156</v>
      </c>
      <c r="C62" t="s">
        <v>109</v>
      </c>
      <c r="I62" s="2"/>
      <c r="K62" s="2"/>
    </row>
    <row r="63" spans="2:11" x14ac:dyDescent="0.35">
      <c r="B63">
        <v>125</v>
      </c>
      <c r="C63" t="s">
        <v>110</v>
      </c>
      <c r="I63" s="2"/>
      <c r="K63" s="2"/>
    </row>
    <row r="64" spans="2:11" x14ac:dyDescent="0.35">
      <c r="B64">
        <v>124</v>
      </c>
      <c r="C64" t="s">
        <v>111</v>
      </c>
      <c r="I64" s="2"/>
      <c r="K64" s="2"/>
    </row>
    <row r="65" spans="2:11" x14ac:dyDescent="0.35">
      <c r="B65">
        <v>162</v>
      </c>
      <c r="C65" t="s">
        <v>112</v>
      </c>
      <c r="I65" s="2"/>
      <c r="K65" s="2"/>
    </row>
    <row r="66" spans="2:11" x14ac:dyDescent="0.35">
      <c r="I66" s="2"/>
      <c r="K66" s="2"/>
    </row>
    <row r="67" spans="2:11" x14ac:dyDescent="0.35">
      <c r="I67" s="2"/>
      <c r="K67" s="2"/>
    </row>
    <row r="68" spans="2:11" x14ac:dyDescent="0.35">
      <c r="I68" s="2"/>
      <c r="K68" s="2"/>
    </row>
    <row r="69" spans="2:11" x14ac:dyDescent="0.35">
      <c r="B69" t="s">
        <v>113</v>
      </c>
      <c r="C69" t="s">
        <v>114</v>
      </c>
      <c r="I69" s="2"/>
      <c r="K69" s="2"/>
    </row>
    <row r="70" spans="2:11" x14ac:dyDescent="0.35">
      <c r="B70">
        <v>234</v>
      </c>
      <c r="C70" t="s">
        <v>115</v>
      </c>
      <c r="I70" s="2"/>
      <c r="K70" s="2"/>
    </row>
    <row r="71" spans="2:11" x14ac:dyDescent="0.35">
      <c r="B71">
        <v>238</v>
      </c>
      <c r="C71" t="s">
        <v>116</v>
      </c>
      <c r="I71" s="2"/>
      <c r="K71" s="2"/>
    </row>
    <row r="72" spans="2:11" x14ac:dyDescent="0.35">
      <c r="B72">
        <v>239</v>
      </c>
      <c r="C72" t="s">
        <v>117</v>
      </c>
      <c r="I72" s="2"/>
      <c r="K72" s="2"/>
    </row>
    <row r="73" spans="2:11" x14ac:dyDescent="0.35">
      <c r="B73">
        <v>242</v>
      </c>
      <c r="C73" t="s">
        <v>118</v>
      </c>
      <c r="I73" s="2"/>
      <c r="K73" s="2"/>
    </row>
    <row r="74" spans="2:11" x14ac:dyDescent="0.35">
      <c r="B74">
        <v>243</v>
      </c>
      <c r="C74" t="s">
        <v>119</v>
      </c>
      <c r="I74" s="2"/>
      <c r="K74" s="2"/>
    </row>
    <row r="75" spans="2:11" x14ac:dyDescent="0.35">
      <c r="B75">
        <v>244</v>
      </c>
      <c r="C75" t="s">
        <v>120</v>
      </c>
      <c r="I75" s="2"/>
      <c r="K75" s="2"/>
    </row>
    <row r="76" spans="2:11" x14ac:dyDescent="0.35">
      <c r="B76">
        <v>245</v>
      </c>
      <c r="C76" t="s">
        <v>121</v>
      </c>
      <c r="I76" s="2"/>
      <c r="K76" s="2"/>
    </row>
    <row r="77" spans="2:11" x14ac:dyDescent="0.35">
      <c r="B77">
        <v>248</v>
      </c>
      <c r="C77" t="s">
        <v>122</v>
      </c>
      <c r="I77" s="2"/>
      <c r="K77" s="2"/>
    </row>
    <row r="78" spans="2:11" x14ac:dyDescent="0.35">
      <c r="B78">
        <v>249</v>
      </c>
      <c r="C78" t="s">
        <v>123</v>
      </c>
      <c r="I78" s="2"/>
      <c r="K78" s="2"/>
    </row>
    <row r="79" spans="2:11" x14ac:dyDescent="0.35">
      <c r="B79">
        <v>251</v>
      </c>
      <c r="C79" t="s">
        <v>124</v>
      </c>
      <c r="I79" s="2"/>
      <c r="K79" s="2"/>
    </row>
    <row r="80" spans="2:11" x14ac:dyDescent="0.35">
      <c r="B80">
        <v>252</v>
      </c>
      <c r="C80" t="s">
        <v>125</v>
      </c>
      <c r="I80" s="2"/>
      <c r="K80" s="2"/>
    </row>
    <row r="81" spans="2:11" x14ac:dyDescent="0.35">
      <c r="B81">
        <v>253</v>
      </c>
      <c r="C81" t="s">
        <v>126</v>
      </c>
      <c r="I81" s="2"/>
      <c r="K81" s="2"/>
    </row>
    <row r="82" spans="2:11" x14ac:dyDescent="0.35">
      <c r="B82">
        <v>254</v>
      </c>
      <c r="C82" t="s">
        <v>127</v>
      </c>
      <c r="I82" s="2"/>
      <c r="K82" s="2"/>
    </row>
    <row r="83" spans="2:11" x14ac:dyDescent="0.35">
      <c r="B83">
        <v>255</v>
      </c>
      <c r="C83" t="s">
        <v>128</v>
      </c>
      <c r="I83" s="2"/>
      <c r="K83" s="2"/>
    </row>
    <row r="84" spans="2:11" x14ac:dyDescent="0.35">
      <c r="B84">
        <v>256</v>
      </c>
      <c r="C84" t="s">
        <v>129</v>
      </c>
      <c r="I84" s="2"/>
      <c r="K84" s="2"/>
    </row>
    <row r="85" spans="2:11" x14ac:dyDescent="0.35">
      <c r="B85">
        <v>258</v>
      </c>
      <c r="C85" t="s">
        <v>130</v>
      </c>
      <c r="I85" s="2"/>
      <c r="K85" s="2"/>
    </row>
    <row r="86" spans="2:11" x14ac:dyDescent="0.35">
      <c r="B86">
        <v>259</v>
      </c>
      <c r="C86" t="s">
        <v>131</v>
      </c>
      <c r="I86" s="2"/>
      <c r="K86" s="2"/>
    </row>
    <row r="87" spans="2:11" x14ac:dyDescent="0.35">
      <c r="B87">
        <v>260</v>
      </c>
      <c r="C87" t="s">
        <v>132</v>
      </c>
      <c r="I87" s="2"/>
      <c r="K87" s="2"/>
    </row>
    <row r="88" spans="2:11" x14ac:dyDescent="0.35">
      <c r="B88">
        <v>261</v>
      </c>
      <c r="C88" t="s">
        <v>133</v>
      </c>
      <c r="I88" s="2"/>
      <c r="K88" s="2"/>
    </row>
    <row r="89" spans="2:11" x14ac:dyDescent="0.35">
      <c r="B89">
        <v>262</v>
      </c>
      <c r="C89" t="s">
        <v>134</v>
      </c>
      <c r="I89" s="2"/>
      <c r="K89" s="2"/>
    </row>
    <row r="90" spans="2:11" x14ac:dyDescent="0.35">
      <c r="B90">
        <v>265</v>
      </c>
      <c r="C90" t="s">
        <v>135</v>
      </c>
      <c r="I90" s="2"/>
      <c r="K90" s="2"/>
    </row>
    <row r="91" spans="2:11" x14ac:dyDescent="0.35">
      <c r="B91">
        <v>266</v>
      </c>
      <c r="C91" t="s">
        <v>136</v>
      </c>
      <c r="I91" s="2"/>
      <c r="K91" s="2"/>
    </row>
    <row r="92" spans="2:11" x14ac:dyDescent="0.35">
      <c r="B92">
        <v>267</v>
      </c>
      <c r="C92" t="s">
        <v>137</v>
      </c>
      <c r="I92" s="2"/>
      <c r="K92" s="2"/>
    </row>
    <row r="93" spans="2:11" x14ac:dyDescent="0.35">
      <c r="I93" s="2"/>
      <c r="K93" s="2"/>
    </row>
    <row r="94" spans="2:11" x14ac:dyDescent="0.35">
      <c r="I94" s="2"/>
      <c r="K94" s="2"/>
    </row>
    <row r="95" spans="2:11" ht="14.5" x14ac:dyDescent="0.35">
      <c r="I95" s="2"/>
      <c r="K95" s="2"/>
    </row>
    <row r="96" spans="2:11" ht="14.5" x14ac:dyDescent="0.35">
      <c r="B96" t="s">
        <v>113</v>
      </c>
      <c r="C96" t="s">
        <v>114</v>
      </c>
      <c r="I96" s="2"/>
      <c r="K96" s="2"/>
    </row>
    <row r="97" spans="2:11" ht="14.5" x14ac:dyDescent="0.35">
      <c r="B97">
        <v>270</v>
      </c>
      <c r="C97" s="31" t="s">
        <v>158</v>
      </c>
      <c r="I97" s="2"/>
      <c r="K97" s="2"/>
    </row>
    <row r="98" spans="2:11" ht="14.5" x14ac:dyDescent="0.35">
      <c r="B98">
        <v>271</v>
      </c>
      <c r="C98" t="s">
        <v>138</v>
      </c>
      <c r="I98" s="2"/>
      <c r="K98" s="2"/>
    </row>
    <row r="99" spans="2:11" ht="14.5" x14ac:dyDescent="0.35">
      <c r="B99">
        <v>272</v>
      </c>
      <c r="C99" t="s">
        <v>139</v>
      </c>
      <c r="I99" s="2"/>
      <c r="K99" s="2"/>
    </row>
    <row r="100" spans="2:11" ht="14.5" x14ac:dyDescent="0.35">
      <c r="B100">
        <v>273</v>
      </c>
      <c r="C100" t="s">
        <v>140</v>
      </c>
      <c r="I100" s="2"/>
      <c r="K100" s="2"/>
    </row>
    <row r="101" spans="2:11" ht="14.5" x14ac:dyDescent="0.35">
      <c r="B101">
        <v>275</v>
      </c>
      <c r="C101" t="s">
        <v>141</v>
      </c>
      <c r="I101" s="2"/>
      <c r="K101" s="2"/>
    </row>
    <row r="102" spans="2:11" ht="14.5" x14ac:dyDescent="0.35">
      <c r="B102">
        <v>277</v>
      </c>
      <c r="C102" t="s">
        <v>142</v>
      </c>
      <c r="I102" s="2"/>
      <c r="K102" s="2"/>
    </row>
    <row r="103" spans="2:11" ht="14.5" x14ac:dyDescent="0.35">
      <c r="B103">
        <v>278</v>
      </c>
      <c r="C103" t="s">
        <v>143</v>
      </c>
      <c r="I103" s="2"/>
      <c r="K103" s="2"/>
    </row>
    <row r="104" spans="2:11" ht="14.5" x14ac:dyDescent="0.35">
      <c r="B104">
        <v>279</v>
      </c>
      <c r="C104" t="s">
        <v>144</v>
      </c>
      <c r="I104" s="2"/>
      <c r="K104" s="2"/>
    </row>
    <row r="105" spans="2:11" ht="14.5" x14ac:dyDescent="0.35">
      <c r="B105">
        <v>282</v>
      </c>
      <c r="C105" t="s">
        <v>145</v>
      </c>
      <c r="I105" s="2"/>
      <c r="K105" s="2"/>
    </row>
    <row r="106" spans="2:11" ht="14.5" x14ac:dyDescent="0.35">
      <c r="B106">
        <v>287</v>
      </c>
      <c r="C106" t="s">
        <v>146</v>
      </c>
      <c r="I106" s="2"/>
      <c r="K106" s="2"/>
    </row>
    <row r="107" spans="2:11" ht="14.5" x14ac:dyDescent="0.35">
      <c r="B107">
        <v>288</v>
      </c>
      <c r="C107" t="s">
        <v>147</v>
      </c>
      <c r="I107" s="2"/>
      <c r="K107" s="2"/>
    </row>
    <row r="108" spans="2:11" ht="14.5" x14ac:dyDescent="0.35">
      <c r="B108">
        <v>290</v>
      </c>
      <c r="C108" t="s">
        <v>148</v>
      </c>
      <c r="I108" s="2"/>
      <c r="K108" s="2"/>
    </row>
    <row r="109" spans="2:11" ht="14.5" x14ac:dyDescent="0.35">
      <c r="B109">
        <v>292</v>
      </c>
      <c r="C109" t="s">
        <v>149</v>
      </c>
      <c r="I109" s="2"/>
      <c r="K109" s="2"/>
    </row>
    <row r="110" spans="2:11" ht="14.5" x14ac:dyDescent="0.35">
      <c r="B110">
        <v>293</v>
      </c>
      <c r="C110" t="s">
        <v>150</v>
      </c>
      <c r="I110" s="2"/>
      <c r="K110" s="2"/>
    </row>
    <row r="111" spans="2:11" ht="14.5" x14ac:dyDescent="0.35">
      <c r="B111">
        <v>294</v>
      </c>
      <c r="C111" t="s">
        <v>151</v>
      </c>
      <c r="I111" s="2"/>
      <c r="K111" s="2"/>
    </row>
    <row r="112" spans="2:11" ht="14.5" x14ac:dyDescent="0.35">
      <c r="B112">
        <v>297</v>
      </c>
      <c r="C112" t="s">
        <v>152</v>
      </c>
      <c r="I112" s="2"/>
      <c r="K112" s="2"/>
    </row>
    <row r="113" spans="2:11" ht="14.5" x14ac:dyDescent="0.35">
      <c r="B113">
        <v>299</v>
      </c>
      <c r="C113" s="31" t="s">
        <v>159</v>
      </c>
      <c r="I113" s="2"/>
      <c r="K113" s="2"/>
    </row>
    <row r="114" spans="2:11" ht="14.5" x14ac:dyDescent="0.35">
      <c r="B114">
        <v>301</v>
      </c>
      <c r="C114" s="31" t="s">
        <v>160</v>
      </c>
      <c r="I114" s="2"/>
      <c r="K114" s="2"/>
    </row>
    <row r="115" spans="2:11" ht="14.5" x14ac:dyDescent="0.35">
      <c r="B115">
        <v>302</v>
      </c>
      <c r="C115" t="s">
        <v>153</v>
      </c>
      <c r="I115" s="2"/>
      <c r="K115" s="2"/>
    </row>
    <row r="116" spans="2:11" ht="14.5" x14ac:dyDescent="0.35">
      <c r="B116">
        <v>305</v>
      </c>
      <c r="C116" t="s">
        <v>154</v>
      </c>
      <c r="I116" s="2"/>
      <c r="K116" s="2"/>
    </row>
    <row r="117" spans="2:11" ht="14.5" x14ac:dyDescent="0.35">
      <c r="B117">
        <v>306</v>
      </c>
      <c r="C117" s="31" t="s">
        <v>161</v>
      </c>
      <c r="I117" s="2"/>
      <c r="K117" s="2"/>
    </row>
    <row r="118" spans="2:11" ht="14.5" x14ac:dyDescent="0.35">
      <c r="B118">
        <v>307</v>
      </c>
      <c r="C118" t="s">
        <v>155</v>
      </c>
      <c r="I118" s="2"/>
      <c r="K118" s="2"/>
    </row>
    <row r="119" spans="2:11" ht="14.5" x14ac:dyDescent="0.35">
      <c r="B119">
        <v>182</v>
      </c>
      <c r="C119" t="s">
        <v>156</v>
      </c>
      <c r="I119" s="2"/>
      <c r="K119" s="2"/>
    </row>
    <row r="120" spans="2:11" ht="14.5" x14ac:dyDescent="0.35">
      <c r="B120">
        <v>188</v>
      </c>
      <c r="C120" t="s">
        <v>157</v>
      </c>
      <c r="I120" s="2"/>
      <c r="K120" s="2"/>
    </row>
    <row r="121" spans="2:11" ht="14.5" x14ac:dyDescent="0.35">
      <c r="B121">
        <v>164</v>
      </c>
      <c r="C121" s="31" t="s">
        <v>162</v>
      </c>
      <c r="I121" s="2"/>
      <c r="K121" s="2"/>
    </row>
    <row r="122" spans="2:11" ht="14.5" x14ac:dyDescent="0.35">
      <c r="B122">
        <v>163</v>
      </c>
      <c r="C122" s="31" t="s">
        <v>163</v>
      </c>
      <c r="I122" s="2"/>
      <c r="K122" s="2"/>
    </row>
    <row r="123" spans="2:11" ht="14.5" x14ac:dyDescent="0.35">
      <c r="B123">
        <v>194</v>
      </c>
      <c r="C123" s="31" t="s">
        <v>164</v>
      </c>
      <c r="I123" s="2"/>
      <c r="K123" s="2"/>
    </row>
    <row r="124" spans="2:11" ht="14.5" x14ac:dyDescent="0.35">
      <c r="B124">
        <v>221</v>
      </c>
      <c r="C124" s="31" t="s">
        <v>165</v>
      </c>
      <c r="I124" s="2"/>
      <c r="K124" s="2"/>
    </row>
    <row r="125" spans="2:11" ht="14.5" x14ac:dyDescent="0.35">
      <c r="B125">
        <v>193</v>
      </c>
      <c r="C125" s="31" t="s">
        <v>166</v>
      </c>
      <c r="I125" s="2"/>
      <c r="K125" s="2"/>
    </row>
    <row r="126" spans="2:11" ht="14.5" x14ac:dyDescent="0.35">
      <c r="B126">
        <v>165</v>
      </c>
      <c r="C126" s="31" t="s">
        <v>167</v>
      </c>
      <c r="I126" s="2"/>
      <c r="K126" s="2"/>
    </row>
    <row r="127" spans="2:11" ht="14.5" x14ac:dyDescent="0.35">
      <c r="I127" s="2"/>
      <c r="K127" s="2"/>
    </row>
    <row r="128" spans="2:11" ht="14.5" x14ac:dyDescent="0.35">
      <c r="I128" s="2"/>
      <c r="K128" s="2"/>
    </row>
    <row r="129" spans="9:11" ht="14.5" x14ac:dyDescent="0.35">
      <c r="I129" s="2"/>
      <c r="K129" s="2"/>
    </row>
    <row r="130" spans="9:11" ht="14.5" x14ac:dyDescent="0.35">
      <c r="I130" s="2"/>
      <c r="K130" s="2"/>
    </row>
    <row r="131" spans="9:11" ht="14.5" x14ac:dyDescent="0.35">
      <c r="I131" s="2"/>
      <c r="K131" s="2"/>
    </row>
    <row r="132" spans="9:11" ht="14.5" x14ac:dyDescent="0.35">
      <c r="I132" s="2"/>
      <c r="K132" s="2"/>
    </row>
    <row r="133" spans="9:11" ht="14.5" x14ac:dyDescent="0.35">
      <c r="I133" s="2"/>
      <c r="K133" s="2"/>
    </row>
    <row r="134" spans="9:11" ht="14.5" x14ac:dyDescent="0.35">
      <c r="I134" s="2"/>
      <c r="K134" s="2"/>
    </row>
    <row r="135" spans="9:11" ht="14.5" x14ac:dyDescent="0.35">
      <c r="I135" s="2"/>
      <c r="K135" s="2"/>
    </row>
    <row r="136" spans="9:11" ht="14.5" x14ac:dyDescent="0.35">
      <c r="I136" s="2"/>
      <c r="K136" s="2"/>
    </row>
    <row r="137" spans="9:11" ht="14.5" x14ac:dyDescent="0.35">
      <c r="I137" s="2"/>
      <c r="K137" s="2"/>
    </row>
    <row r="138" spans="9:11" ht="14.5" x14ac:dyDescent="0.35">
      <c r="I138" s="2"/>
      <c r="K138" s="2"/>
    </row>
    <row r="139" spans="9:11" ht="14.5" x14ac:dyDescent="0.35">
      <c r="I139" s="2"/>
      <c r="K139" s="2"/>
    </row>
    <row r="140" spans="9:11" ht="14.5" x14ac:dyDescent="0.35">
      <c r="I140" s="2"/>
      <c r="K140" s="2"/>
    </row>
    <row r="141" spans="9:11" ht="14.5" x14ac:dyDescent="0.35">
      <c r="I141" s="2"/>
      <c r="K141" s="2"/>
    </row>
    <row r="142" spans="9:11" ht="14.5" x14ac:dyDescent="0.35">
      <c r="I142" s="2"/>
      <c r="K142" s="2"/>
    </row>
    <row r="143" spans="9:11" ht="14.5" x14ac:dyDescent="0.35">
      <c r="I143" s="2"/>
      <c r="K143" s="2"/>
    </row>
    <row r="144" spans="9:11" ht="14.5" x14ac:dyDescent="0.35">
      <c r="I144" s="2"/>
      <c r="K144" s="2"/>
    </row>
    <row r="145" spans="9:11" ht="14.5" x14ac:dyDescent="0.35">
      <c r="I145" s="2"/>
      <c r="K145" s="2"/>
    </row>
    <row r="146" spans="9:11" ht="14.5" x14ac:dyDescent="0.35">
      <c r="I146" s="2"/>
      <c r="K146" s="2"/>
    </row>
    <row r="147" spans="9:11" ht="14.5" x14ac:dyDescent="0.35">
      <c r="I147" s="2"/>
      <c r="K147" s="2"/>
    </row>
    <row r="148" spans="9:11" ht="14.5" x14ac:dyDescent="0.35">
      <c r="I148" s="2"/>
      <c r="K148" s="2"/>
    </row>
    <row r="149" spans="9:11" ht="14.5" x14ac:dyDescent="0.35">
      <c r="I149" s="2"/>
      <c r="K149" s="2"/>
    </row>
    <row r="150" spans="9:11" ht="14.5" x14ac:dyDescent="0.35">
      <c r="I150" s="2"/>
      <c r="K150" s="2"/>
    </row>
    <row r="151" spans="9:11" ht="14.5" x14ac:dyDescent="0.35">
      <c r="I151" s="2"/>
      <c r="K151" s="2"/>
    </row>
    <row r="152" spans="9:11" ht="14.5" x14ac:dyDescent="0.35">
      <c r="I152" s="2"/>
      <c r="K152" s="2"/>
    </row>
    <row r="153" spans="9:11" ht="14.5" x14ac:dyDescent="0.35">
      <c r="I153" s="2"/>
      <c r="K153" s="2"/>
    </row>
    <row r="154" spans="9:11" ht="14.5" x14ac:dyDescent="0.35">
      <c r="I154" s="2"/>
      <c r="K154" s="2"/>
    </row>
    <row r="155" spans="9:11" ht="14.5" x14ac:dyDescent="0.35">
      <c r="I155" s="2"/>
      <c r="K155" s="2"/>
    </row>
    <row r="156" spans="9:11" ht="14.5" x14ac:dyDescent="0.35">
      <c r="I156" s="2"/>
      <c r="K156" s="2"/>
    </row>
    <row r="157" spans="9:11" ht="14.5" x14ac:dyDescent="0.35">
      <c r="I157" s="2"/>
      <c r="K157" s="2"/>
    </row>
    <row r="158" spans="9:11" ht="14.5" x14ac:dyDescent="0.35">
      <c r="I158" s="2"/>
      <c r="K158" s="2"/>
    </row>
    <row r="159" spans="9:11" ht="14.5" x14ac:dyDescent="0.35">
      <c r="I159" s="2"/>
      <c r="K159" s="2"/>
    </row>
    <row r="160" spans="9:11" ht="14.5" x14ac:dyDescent="0.35">
      <c r="I160" s="2"/>
      <c r="K160" s="2"/>
    </row>
    <row r="161" spans="9:11" ht="14.5" x14ac:dyDescent="0.35">
      <c r="I161" s="2"/>
      <c r="K161" s="2"/>
    </row>
    <row r="162" spans="9:11" ht="14.5" x14ac:dyDescent="0.35">
      <c r="I162" s="2"/>
      <c r="K162" s="2"/>
    </row>
    <row r="163" spans="9:11" ht="14.5" x14ac:dyDescent="0.35">
      <c r="I163" s="2"/>
      <c r="K163" s="2"/>
    </row>
    <row r="164" spans="9:11" ht="14.5" x14ac:dyDescent="0.35">
      <c r="I164" s="2"/>
      <c r="K164" s="2"/>
    </row>
    <row r="165" spans="9:11" ht="14.5" x14ac:dyDescent="0.35">
      <c r="I165" s="2"/>
      <c r="K165" s="2"/>
    </row>
    <row r="166" spans="9:11" ht="14.5" x14ac:dyDescent="0.35">
      <c r="I166" s="2"/>
      <c r="K166" s="2"/>
    </row>
    <row r="167" spans="9:11" ht="14.5" x14ac:dyDescent="0.35">
      <c r="I167" s="2"/>
      <c r="K167" s="2"/>
    </row>
    <row r="168" spans="9:11" ht="14.5" x14ac:dyDescent="0.35">
      <c r="I168" s="2"/>
      <c r="K168" s="2"/>
    </row>
    <row r="169" spans="9:11" ht="14.5" x14ac:dyDescent="0.35">
      <c r="I169" s="2"/>
      <c r="K169" s="2"/>
    </row>
    <row r="170" spans="9:11" ht="14.5" x14ac:dyDescent="0.35">
      <c r="I170" s="2"/>
      <c r="K170" s="2"/>
    </row>
    <row r="171" spans="9:11" ht="14.5" x14ac:dyDescent="0.35">
      <c r="I171" s="2"/>
      <c r="K171" s="2"/>
    </row>
    <row r="172" spans="9:11" ht="14.5" x14ac:dyDescent="0.35">
      <c r="I172" s="2"/>
      <c r="K172" s="2"/>
    </row>
    <row r="173" spans="9:11" ht="14.5" x14ac:dyDescent="0.35">
      <c r="I173" s="2"/>
      <c r="K173" s="2"/>
    </row>
    <row r="174" spans="9:11" ht="14.5" x14ac:dyDescent="0.35">
      <c r="I174" s="2"/>
      <c r="K174" s="2"/>
    </row>
    <row r="175" spans="9:11" ht="14.5" x14ac:dyDescent="0.35">
      <c r="I175" s="2"/>
      <c r="K175" s="2"/>
    </row>
    <row r="176" spans="9:11" ht="14.5" x14ac:dyDescent="0.35">
      <c r="I176" s="2"/>
      <c r="K176" s="2"/>
    </row>
    <row r="177" spans="9:11" ht="14.5" x14ac:dyDescent="0.35">
      <c r="I177" s="2"/>
      <c r="K177" s="2"/>
    </row>
    <row r="178" spans="9:11" ht="14.5" x14ac:dyDescent="0.35">
      <c r="I178" s="2"/>
      <c r="K178" s="2"/>
    </row>
    <row r="179" spans="9:11" ht="14.5" x14ac:dyDescent="0.35">
      <c r="I179" s="2"/>
      <c r="K179" s="2"/>
    </row>
    <row r="180" spans="9:11" ht="14.5" x14ac:dyDescent="0.35">
      <c r="I180" s="2"/>
      <c r="K180" s="2"/>
    </row>
    <row r="181" spans="9:11" ht="14.5" x14ac:dyDescent="0.35">
      <c r="I181" s="2"/>
      <c r="K181" s="2"/>
    </row>
    <row r="182" spans="9:11" ht="14.5" x14ac:dyDescent="0.35">
      <c r="I182" s="2"/>
      <c r="K182" s="2"/>
    </row>
    <row r="183" spans="9:11" ht="14.5" x14ac:dyDescent="0.35">
      <c r="I183" s="2"/>
      <c r="K183" s="2"/>
    </row>
    <row r="184" spans="9:11" ht="14.5" x14ac:dyDescent="0.35">
      <c r="I184" s="2"/>
      <c r="K184" s="2"/>
    </row>
    <row r="185" spans="9:11" ht="14.5" x14ac:dyDescent="0.35">
      <c r="I185" s="2"/>
      <c r="K185" s="2"/>
    </row>
    <row r="186" spans="9:11" ht="14.5" x14ac:dyDescent="0.35">
      <c r="I186" s="2"/>
      <c r="K186" s="2"/>
    </row>
    <row r="187" spans="9:11" ht="14.5" x14ac:dyDescent="0.35">
      <c r="I187" s="2"/>
      <c r="K187" s="2"/>
    </row>
    <row r="188" spans="9:11" ht="14.5" x14ac:dyDescent="0.35">
      <c r="I188" s="2"/>
      <c r="K188" s="2"/>
    </row>
    <row r="189" spans="9:11" ht="14.5" x14ac:dyDescent="0.35">
      <c r="I189" s="2"/>
      <c r="K189" s="2"/>
    </row>
    <row r="190" spans="9:11" ht="14.5" x14ac:dyDescent="0.35">
      <c r="I190" s="2"/>
      <c r="K190" s="2"/>
    </row>
    <row r="191" spans="9:11" ht="14.5" x14ac:dyDescent="0.35">
      <c r="I191" s="2"/>
      <c r="K191" s="2"/>
    </row>
    <row r="192" spans="9:11" ht="14.5" x14ac:dyDescent="0.35">
      <c r="I192" s="2"/>
      <c r="K192" s="2"/>
    </row>
    <row r="193" spans="9:11" ht="14.5" x14ac:dyDescent="0.35">
      <c r="I193" s="2"/>
      <c r="K193" s="2"/>
    </row>
    <row r="194" spans="9:11" ht="14.5" x14ac:dyDescent="0.35">
      <c r="I194" s="2"/>
      <c r="K194" s="2"/>
    </row>
    <row r="195" spans="9:11" ht="14.5" x14ac:dyDescent="0.35">
      <c r="I195" s="2"/>
      <c r="K195" s="2"/>
    </row>
    <row r="196" spans="9:11" ht="14.5" x14ac:dyDescent="0.35">
      <c r="I196" s="2"/>
      <c r="K196" s="2"/>
    </row>
    <row r="197" spans="9:11" ht="14.5" x14ac:dyDescent="0.35">
      <c r="I197" s="2"/>
      <c r="K197" s="2"/>
    </row>
    <row r="198" spans="9:11" ht="14.5" x14ac:dyDescent="0.35">
      <c r="I198" s="2"/>
      <c r="K198" s="2"/>
    </row>
    <row r="199" spans="9:11" ht="14.5" x14ac:dyDescent="0.35">
      <c r="I199" s="2"/>
      <c r="K199" s="2"/>
    </row>
    <row r="200" spans="9:11" ht="14.5" x14ac:dyDescent="0.35">
      <c r="I200" s="2"/>
      <c r="K200" s="2"/>
    </row>
    <row r="201" spans="9:11" ht="14.5" x14ac:dyDescent="0.35">
      <c r="I201" s="2"/>
      <c r="K201" s="2"/>
    </row>
    <row r="202" spans="9:11" ht="14.5" x14ac:dyDescent="0.35">
      <c r="I202" s="2"/>
      <c r="K202" s="2"/>
    </row>
    <row r="203" spans="9:11" ht="14.5" x14ac:dyDescent="0.35">
      <c r="I203" s="2"/>
      <c r="K203" s="2"/>
    </row>
    <row r="204" spans="9:11" ht="14.5" x14ac:dyDescent="0.35">
      <c r="I204" s="2"/>
      <c r="K204" s="2"/>
    </row>
    <row r="205" spans="9:11" ht="14.5" x14ac:dyDescent="0.35">
      <c r="I205" s="2"/>
      <c r="K205" s="2"/>
    </row>
    <row r="206" spans="9:11" ht="14.5" x14ac:dyDescent="0.35">
      <c r="I206" s="2"/>
      <c r="K206" s="2"/>
    </row>
    <row r="207" spans="9:11" ht="14.5" x14ac:dyDescent="0.35">
      <c r="I207" s="2"/>
      <c r="K207" s="2"/>
    </row>
    <row r="208" spans="9:11" ht="14.5" x14ac:dyDescent="0.35">
      <c r="I208" s="2"/>
      <c r="K208" s="2"/>
    </row>
    <row r="209" spans="9:11" ht="14.5" x14ac:dyDescent="0.35">
      <c r="I209" s="2"/>
      <c r="K209" s="2"/>
    </row>
    <row r="210" spans="9:11" ht="14.5" x14ac:dyDescent="0.35">
      <c r="I210" s="2"/>
      <c r="K210" s="2"/>
    </row>
    <row r="211" spans="9:11" ht="14.5" x14ac:dyDescent="0.35">
      <c r="I211" s="2"/>
      <c r="K211" s="2"/>
    </row>
    <row r="212" spans="9:11" ht="14.5" x14ac:dyDescent="0.35">
      <c r="I212" s="2"/>
      <c r="K212" s="2"/>
    </row>
    <row r="213" spans="9:11" ht="14.5" x14ac:dyDescent="0.35">
      <c r="I213" s="2"/>
      <c r="K213" s="2"/>
    </row>
    <row r="214" spans="9:11" ht="14.5" x14ac:dyDescent="0.35">
      <c r="I214" s="2"/>
      <c r="K214" s="2"/>
    </row>
    <row r="215" spans="9:11" ht="14.5" x14ac:dyDescent="0.35">
      <c r="I215" s="2"/>
      <c r="K215" s="2"/>
    </row>
    <row r="216" spans="9:11" ht="14.5" x14ac:dyDescent="0.35">
      <c r="I216" s="2"/>
      <c r="K216" s="2"/>
    </row>
    <row r="217" spans="9:11" ht="14.5" x14ac:dyDescent="0.35">
      <c r="I217" s="2"/>
      <c r="K217" s="2"/>
    </row>
    <row r="218" spans="9:11" ht="14.5" x14ac:dyDescent="0.35">
      <c r="I218" s="2"/>
      <c r="K218" s="2"/>
    </row>
    <row r="219" spans="9:11" ht="14.5" x14ac:dyDescent="0.35">
      <c r="I219" s="2"/>
      <c r="K219" s="2"/>
    </row>
    <row r="220" spans="9:11" ht="14.5" x14ac:dyDescent="0.35">
      <c r="I220" s="2"/>
      <c r="K220" s="2"/>
    </row>
    <row r="221" spans="9:11" ht="14.5" x14ac:dyDescent="0.35">
      <c r="I221" s="2"/>
      <c r="K221" s="2"/>
    </row>
    <row r="222" spans="9:11" ht="14.5" x14ac:dyDescent="0.35">
      <c r="I222" s="2"/>
      <c r="K222" s="2"/>
    </row>
    <row r="223" spans="9:11" ht="14.5" x14ac:dyDescent="0.35">
      <c r="I223" s="2"/>
      <c r="K223" s="2"/>
    </row>
    <row r="224" spans="9:11" ht="14.5" x14ac:dyDescent="0.35">
      <c r="I224" s="2"/>
      <c r="K224" s="2"/>
    </row>
    <row r="225" spans="9:11" ht="14.5" x14ac:dyDescent="0.35">
      <c r="I225" s="2"/>
      <c r="K225" s="2"/>
    </row>
    <row r="226" spans="9:11" ht="14.5" x14ac:dyDescent="0.35">
      <c r="I226" s="2"/>
      <c r="K226" s="2"/>
    </row>
    <row r="227" spans="9:11" ht="14.5" x14ac:dyDescent="0.35">
      <c r="I227" s="2"/>
      <c r="K227" s="2"/>
    </row>
    <row r="228" spans="9:11" ht="14.5" x14ac:dyDescent="0.35">
      <c r="I228" s="2"/>
      <c r="K228" s="2"/>
    </row>
    <row r="229" spans="9:11" ht="14.5" x14ac:dyDescent="0.35">
      <c r="I229" s="2"/>
      <c r="K229" s="2"/>
    </row>
    <row r="230" spans="9:11" ht="14.5" x14ac:dyDescent="0.35">
      <c r="I230" s="2"/>
      <c r="K230" s="2"/>
    </row>
    <row r="231" spans="9:11" ht="14.5" x14ac:dyDescent="0.35">
      <c r="I231" s="2"/>
      <c r="K231" s="2"/>
    </row>
    <row r="232" spans="9:11" ht="14.5" x14ac:dyDescent="0.35">
      <c r="I232" s="2"/>
      <c r="K232" s="2"/>
    </row>
    <row r="233" spans="9:11" ht="14.5" x14ac:dyDescent="0.35">
      <c r="I233" s="2"/>
      <c r="K233" s="2"/>
    </row>
    <row r="234" spans="9:11" ht="14.5" x14ac:dyDescent="0.35">
      <c r="I234" s="2"/>
      <c r="K234" s="2"/>
    </row>
    <row r="235" spans="9:11" ht="14.5" x14ac:dyDescent="0.35">
      <c r="I235" s="2"/>
      <c r="K235" s="2"/>
    </row>
    <row r="236" spans="9:11" ht="14.5" x14ac:dyDescent="0.35">
      <c r="I236" s="2"/>
      <c r="K236" s="2"/>
    </row>
    <row r="237" spans="9:11" ht="14.5" x14ac:dyDescent="0.35">
      <c r="I237" s="2"/>
      <c r="K237" s="2"/>
    </row>
    <row r="238" spans="9:11" ht="14.5" x14ac:dyDescent="0.35">
      <c r="I238" s="2"/>
      <c r="K238" s="2"/>
    </row>
    <row r="239" spans="9:11" ht="14.5" x14ac:dyDescent="0.35">
      <c r="I239" s="2"/>
      <c r="K239" s="2"/>
    </row>
    <row r="240" spans="9:11" ht="14.5" x14ac:dyDescent="0.35">
      <c r="I240" s="2"/>
      <c r="K240" s="2"/>
    </row>
    <row r="241" spans="9:11" ht="14.5" x14ac:dyDescent="0.35">
      <c r="I241" s="2"/>
      <c r="K241" s="2"/>
    </row>
    <row r="242" spans="9:11" ht="14.5" x14ac:dyDescent="0.35">
      <c r="I242" s="2"/>
      <c r="K242" s="2"/>
    </row>
    <row r="243" spans="9:11" ht="14.5" x14ac:dyDescent="0.35">
      <c r="I243" s="2"/>
      <c r="K243" s="2"/>
    </row>
    <row r="244" spans="9:11" ht="14.5" x14ac:dyDescent="0.35">
      <c r="I244" s="2"/>
      <c r="K244" s="2"/>
    </row>
    <row r="245" spans="9:11" ht="14.5" x14ac:dyDescent="0.35">
      <c r="I245" s="2"/>
      <c r="K245" s="2"/>
    </row>
    <row r="246" spans="9:11" ht="14.5" x14ac:dyDescent="0.35">
      <c r="I246" s="2"/>
      <c r="K246" s="2"/>
    </row>
    <row r="247" spans="9:11" ht="14.5" x14ac:dyDescent="0.35">
      <c r="I247" s="2"/>
      <c r="K247" s="2"/>
    </row>
    <row r="248" spans="9:11" ht="14.5" x14ac:dyDescent="0.35">
      <c r="I248" s="2"/>
      <c r="K248" s="2"/>
    </row>
    <row r="249" spans="9:11" ht="14.5" x14ac:dyDescent="0.35">
      <c r="I249" s="2"/>
      <c r="K249" s="2"/>
    </row>
    <row r="250" spans="9:11" ht="14.5" x14ac:dyDescent="0.35">
      <c r="I250" s="2"/>
      <c r="K250" s="2"/>
    </row>
    <row r="251" spans="9:11" ht="14.5" x14ac:dyDescent="0.35">
      <c r="I251" s="2"/>
      <c r="K251" s="2"/>
    </row>
    <row r="252" spans="9:11" ht="14.5" x14ac:dyDescent="0.35">
      <c r="I252" s="2"/>
      <c r="K252" s="2"/>
    </row>
    <row r="253" spans="9:11" ht="14.5" x14ac:dyDescent="0.35">
      <c r="I253" s="2"/>
      <c r="K253" s="2"/>
    </row>
    <row r="254" spans="9:11" ht="14.5" x14ac:dyDescent="0.35">
      <c r="I254" s="2"/>
      <c r="K254" s="2"/>
    </row>
    <row r="255" spans="9:11" ht="14.5" x14ac:dyDescent="0.35">
      <c r="I255" s="2"/>
      <c r="K255" s="2"/>
    </row>
    <row r="256" spans="9:11" ht="14.5" x14ac:dyDescent="0.35">
      <c r="I256" s="2"/>
      <c r="K256" s="2"/>
    </row>
    <row r="257" spans="9:11" ht="14.5" x14ac:dyDescent="0.35">
      <c r="I257" s="2"/>
      <c r="K257" s="2"/>
    </row>
    <row r="258" spans="9:11" ht="14.5" x14ac:dyDescent="0.35">
      <c r="I258" s="2"/>
      <c r="K258" s="2"/>
    </row>
    <row r="259" spans="9:11" ht="14.5" x14ac:dyDescent="0.35">
      <c r="I259" s="2"/>
      <c r="K259" s="2"/>
    </row>
    <row r="260" spans="9:11" ht="14.5" x14ac:dyDescent="0.35">
      <c r="I260" s="2"/>
      <c r="K260" s="2"/>
    </row>
    <row r="261" spans="9:11" ht="14.5" x14ac:dyDescent="0.35">
      <c r="I261" s="2"/>
      <c r="K261" s="2"/>
    </row>
    <row r="262" spans="9:11" ht="14.5" x14ac:dyDescent="0.35">
      <c r="I262" s="2"/>
      <c r="K262" s="2"/>
    </row>
    <row r="263" spans="9:11" ht="14.5" x14ac:dyDescent="0.35">
      <c r="I263" s="2"/>
      <c r="K263" s="2"/>
    </row>
    <row r="264" spans="9:11" ht="14.5" x14ac:dyDescent="0.35">
      <c r="I264" s="2"/>
      <c r="K264" s="2"/>
    </row>
    <row r="265" spans="9:11" ht="14.5" x14ac:dyDescent="0.35">
      <c r="I265" s="2"/>
      <c r="K265" s="2"/>
    </row>
    <row r="266" spans="9:11" ht="14.5" x14ac:dyDescent="0.35">
      <c r="I266" s="2"/>
      <c r="K266" s="2"/>
    </row>
    <row r="267" spans="9:11" ht="14.5" x14ac:dyDescent="0.35">
      <c r="I267" s="2"/>
      <c r="K267" s="2"/>
    </row>
    <row r="268" spans="9:11" ht="14.5" x14ac:dyDescent="0.35">
      <c r="I268" s="2"/>
      <c r="K268" s="2"/>
    </row>
    <row r="269" spans="9:11" ht="14.5" x14ac:dyDescent="0.35">
      <c r="I269" s="2"/>
      <c r="K269" s="2"/>
    </row>
    <row r="270" spans="9:11" ht="14.5" x14ac:dyDescent="0.35">
      <c r="I270" s="2"/>
      <c r="K270" s="2"/>
    </row>
    <row r="271" spans="9:11" ht="14.5" x14ac:dyDescent="0.35">
      <c r="I271" s="2"/>
      <c r="K271" s="2"/>
    </row>
    <row r="272" spans="9:11" ht="14.5" x14ac:dyDescent="0.35">
      <c r="I272" s="2"/>
      <c r="K272" s="2"/>
    </row>
    <row r="273" spans="9:11" ht="14.5" x14ac:dyDescent="0.35">
      <c r="I273" s="2"/>
      <c r="K273" s="2"/>
    </row>
    <row r="274" spans="9:11" ht="14.5" x14ac:dyDescent="0.35">
      <c r="I274" s="2"/>
      <c r="K274" s="2"/>
    </row>
    <row r="275" spans="9:11" ht="14.5" x14ac:dyDescent="0.35">
      <c r="I275" s="2"/>
      <c r="K275" s="2"/>
    </row>
    <row r="276" spans="9:11" ht="14.5" x14ac:dyDescent="0.35">
      <c r="I276" s="2"/>
      <c r="K276" s="2"/>
    </row>
    <row r="277" spans="9:11" ht="14.5" x14ac:dyDescent="0.35">
      <c r="I277" s="2"/>
      <c r="K277" s="2"/>
    </row>
    <row r="278" spans="9:11" ht="14.5" x14ac:dyDescent="0.35">
      <c r="I278" s="2"/>
      <c r="K278" s="2"/>
    </row>
    <row r="279" spans="9:11" ht="14.5" x14ac:dyDescent="0.35">
      <c r="I279" s="2"/>
      <c r="K279" s="2"/>
    </row>
    <row r="280" spans="9:11" ht="14.5" x14ac:dyDescent="0.35">
      <c r="I280" s="2"/>
      <c r="K280" s="2"/>
    </row>
    <row r="281" spans="9:11" ht="14.5" x14ac:dyDescent="0.35">
      <c r="I281" s="2"/>
      <c r="K281" s="2"/>
    </row>
    <row r="282" spans="9:11" ht="14.5" x14ac:dyDescent="0.35">
      <c r="I282" s="2"/>
      <c r="K282" s="2"/>
    </row>
    <row r="283" spans="9:11" ht="14.5" x14ac:dyDescent="0.35">
      <c r="I283" s="2"/>
      <c r="K283" s="2"/>
    </row>
    <row r="284" spans="9:11" ht="14.5" x14ac:dyDescent="0.35">
      <c r="I284" s="2"/>
      <c r="K284" s="2"/>
    </row>
    <row r="285" spans="9:11" ht="14.5" x14ac:dyDescent="0.35">
      <c r="I285" s="2"/>
      <c r="K285" s="2"/>
    </row>
    <row r="286" spans="9:11" ht="14.5" x14ac:dyDescent="0.35">
      <c r="I286" s="2"/>
      <c r="K286" s="2"/>
    </row>
    <row r="287" spans="9:11" ht="14.5" x14ac:dyDescent="0.35">
      <c r="I287" s="2"/>
      <c r="K287" s="2"/>
    </row>
    <row r="288" spans="9:11" ht="14.5" x14ac:dyDescent="0.35">
      <c r="I288" s="2"/>
      <c r="K288" s="2"/>
    </row>
    <row r="289" spans="9:11" ht="14.5" x14ac:dyDescent="0.35">
      <c r="I289" s="2"/>
      <c r="K289" s="2"/>
    </row>
    <row r="290" spans="9:11" ht="14.5" x14ac:dyDescent="0.35">
      <c r="I290" s="2"/>
      <c r="K290" s="2"/>
    </row>
    <row r="291" spans="9:11" ht="14.5" x14ac:dyDescent="0.35">
      <c r="I291" s="2"/>
      <c r="K291" s="2"/>
    </row>
    <row r="292" spans="9:11" ht="14.5" x14ac:dyDescent="0.35">
      <c r="I292" s="2"/>
      <c r="K292" s="2"/>
    </row>
    <row r="293" spans="9:11" ht="14.5" x14ac:dyDescent="0.35">
      <c r="I293" s="2"/>
      <c r="K293" s="2"/>
    </row>
    <row r="294" spans="9:11" ht="14.5" x14ac:dyDescent="0.35">
      <c r="I294" s="2"/>
      <c r="K294" s="2"/>
    </row>
    <row r="295" spans="9:11" ht="14.5" x14ac:dyDescent="0.35">
      <c r="I295" s="2"/>
      <c r="K295" s="2"/>
    </row>
    <row r="296" spans="9:11" ht="14.5" x14ac:dyDescent="0.35">
      <c r="I296" s="2"/>
      <c r="K296" s="2"/>
    </row>
    <row r="297" spans="9:11" ht="14.5" x14ac:dyDescent="0.35">
      <c r="I297" s="2"/>
      <c r="K297" s="2"/>
    </row>
    <row r="298" spans="9:11" ht="14.5" x14ac:dyDescent="0.35">
      <c r="I298" s="2"/>
      <c r="K298" s="2"/>
    </row>
    <row r="299" spans="9:11" ht="14.5" x14ac:dyDescent="0.35">
      <c r="I299" s="2"/>
      <c r="K299" s="2"/>
    </row>
    <row r="300" spans="9:11" ht="14.5" x14ac:dyDescent="0.35">
      <c r="I300" s="2"/>
      <c r="K300" s="2"/>
    </row>
    <row r="301" spans="9:11" ht="14.5" x14ac:dyDescent="0.35">
      <c r="I301" s="2"/>
      <c r="K301" s="2"/>
    </row>
    <row r="302" spans="9:11" ht="14.5" x14ac:dyDescent="0.35">
      <c r="I302" s="2"/>
      <c r="K302" s="2"/>
    </row>
    <row r="303" spans="9:11" ht="14.5" x14ac:dyDescent="0.35">
      <c r="I303" s="2"/>
      <c r="K303" s="2"/>
    </row>
    <row r="304" spans="9:11" ht="14.5" x14ac:dyDescent="0.35">
      <c r="I304" s="2"/>
      <c r="K304" s="2"/>
    </row>
    <row r="305" spans="9:11" ht="14.5" x14ac:dyDescent="0.35">
      <c r="I305" s="2"/>
      <c r="K305" s="2"/>
    </row>
    <row r="306" spans="9:11" ht="14.5" x14ac:dyDescent="0.35">
      <c r="I306" s="2"/>
      <c r="K306" s="2"/>
    </row>
    <row r="307" spans="9:11" ht="14.5" x14ac:dyDescent="0.35">
      <c r="I307" s="2"/>
      <c r="K307" s="2"/>
    </row>
    <row r="308" spans="9:11" ht="14.5" x14ac:dyDescent="0.35">
      <c r="I308" s="2"/>
      <c r="K308" s="2"/>
    </row>
    <row r="309" spans="9:11" ht="14.5" x14ac:dyDescent="0.35">
      <c r="I309" s="2"/>
      <c r="K309" s="2"/>
    </row>
    <row r="310" spans="9:11" ht="14.5" x14ac:dyDescent="0.35">
      <c r="I310" s="2"/>
      <c r="K310" s="2"/>
    </row>
    <row r="311" spans="9:11" ht="14.5" x14ac:dyDescent="0.35">
      <c r="I311" s="2"/>
      <c r="K311" s="2"/>
    </row>
    <row r="312" spans="9:11" ht="14.5" x14ac:dyDescent="0.35">
      <c r="I312" s="2"/>
      <c r="K312" s="2"/>
    </row>
    <row r="313" spans="9:11" ht="14.5" x14ac:dyDescent="0.35">
      <c r="I313" s="2"/>
      <c r="K313" s="2"/>
    </row>
    <row r="314" spans="9:11" ht="14.5" x14ac:dyDescent="0.35">
      <c r="I314" s="2"/>
      <c r="K314" s="2"/>
    </row>
    <row r="315" spans="9:11" ht="14.5" x14ac:dyDescent="0.35">
      <c r="I315" s="2"/>
      <c r="K315" s="2"/>
    </row>
    <row r="316" spans="9:11" ht="14.5" x14ac:dyDescent="0.35">
      <c r="I316" s="2"/>
      <c r="K316" s="2"/>
    </row>
    <row r="317" spans="9:11" ht="14.5" x14ac:dyDescent="0.35">
      <c r="I317" s="2"/>
      <c r="K317" s="2"/>
    </row>
    <row r="318" spans="9:11" ht="14.5" x14ac:dyDescent="0.35">
      <c r="I318" s="2"/>
      <c r="K318" s="2"/>
    </row>
    <row r="319" spans="9:11" ht="14.5" x14ac:dyDescent="0.35">
      <c r="I319" s="2"/>
      <c r="K319" s="2"/>
    </row>
    <row r="320" spans="9:11" ht="14.5" x14ac:dyDescent="0.35">
      <c r="I320" s="2"/>
      <c r="K320" s="2"/>
    </row>
    <row r="321" spans="9:11" ht="14.5" x14ac:dyDescent="0.35">
      <c r="I321" s="2"/>
      <c r="K321" s="2"/>
    </row>
    <row r="322" spans="9:11" ht="14.5" x14ac:dyDescent="0.35">
      <c r="I322" s="2"/>
      <c r="K322" s="2"/>
    </row>
    <row r="323" spans="9:11" ht="14.5" x14ac:dyDescent="0.35">
      <c r="I323" s="2"/>
      <c r="K323" s="2"/>
    </row>
    <row r="324" spans="9:11" ht="14.5" x14ac:dyDescent="0.35">
      <c r="I324" s="2"/>
      <c r="K324" s="2"/>
    </row>
    <row r="325" spans="9:11" ht="14.5" x14ac:dyDescent="0.35">
      <c r="I325" s="2"/>
      <c r="K325" s="2"/>
    </row>
    <row r="326" spans="9:11" ht="14.5" x14ac:dyDescent="0.35">
      <c r="I326" s="2"/>
      <c r="K326" s="2"/>
    </row>
    <row r="327" spans="9:11" ht="14.5" x14ac:dyDescent="0.35">
      <c r="I327" s="2"/>
      <c r="K327" s="2"/>
    </row>
    <row r="328" spans="9:11" ht="14.5" x14ac:dyDescent="0.35">
      <c r="I328" s="2"/>
      <c r="K328" s="2"/>
    </row>
    <row r="329" spans="9:11" ht="14.5" x14ac:dyDescent="0.35">
      <c r="I329" s="2"/>
      <c r="K329" s="2"/>
    </row>
    <row r="330" spans="9:11" ht="14.5" x14ac:dyDescent="0.35">
      <c r="I330" s="2"/>
      <c r="K330" s="2"/>
    </row>
    <row r="331" spans="9:11" ht="14.5" x14ac:dyDescent="0.35">
      <c r="I331" s="2"/>
      <c r="K331" s="2"/>
    </row>
    <row r="332" spans="9:11" ht="14.5" x14ac:dyDescent="0.35">
      <c r="I332" s="2"/>
      <c r="K332" s="2"/>
    </row>
    <row r="333" spans="9:11" ht="14.5" x14ac:dyDescent="0.35">
      <c r="I333" s="2"/>
      <c r="K333" s="2"/>
    </row>
    <row r="334" spans="9:11" ht="14.5" x14ac:dyDescent="0.35">
      <c r="I334" s="2"/>
      <c r="K334" s="2"/>
    </row>
    <row r="335" spans="9:11" ht="14.5" x14ac:dyDescent="0.35">
      <c r="I335" s="2"/>
      <c r="K335" s="2"/>
    </row>
    <row r="336" spans="9:11" ht="14.5" x14ac:dyDescent="0.35">
      <c r="I336" s="2"/>
      <c r="K336" s="2"/>
    </row>
    <row r="337" spans="9:11" ht="14.5" x14ac:dyDescent="0.35">
      <c r="I337" s="2"/>
      <c r="K337" s="2"/>
    </row>
    <row r="338" spans="9:11" ht="14.5" x14ac:dyDescent="0.35">
      <c r="I338" s="2"/>
      <c r="K338" s="2"/>
    </row>
    <row r="339" spans="9:11" ht="14.5" x14ac:dyDescent="0.35">
      <c r="I339" s="2"/>
      <c r="K339" s="2"/>
    </row>
    <row r="340" spans="9:11" ht="14.5" x14ac:dyDescent="0.35">
      <c r="I340" s="2"/>
      <c r="K340" s="2"/>
    </row>
    <row r="341" spans="9:11" ht="14.5" x14ac:dyDescent="0.35">
      <c r="I341" s="2"/>
      <c r="K341" s="2"/>
    </row>
    <row r="342" spans="9:11" ht="14.5" x14ac:dyDescent="0.35">
      <c r="I342" s="2"/>
      <c r="K342" s="2"/>
    </row>
    <row r="343" spans="9:11" ht="14.5" x14ac:dyDescent="0.35">
      <c r="I343" s="2"/>
      <c r="K343" s="2"/>
    </row>
    <row r="344" spans="9:11" ht="14.5" x14ac:dyDescent="0.35">
      <c r="I344" s="2"/>
      <c r="K344" s="2"/>
    </row>
    <row r="345" spans="9:11" ht="14.5" x14ac:dyDescent="0.35">
      <c r="I345" s="2"/>
      <c r="K345" s="2"/>
    </row>
    <row r="346" spans="9:11" ht="14.5" x14ac:dyDescent="0.35">
      <c r="I346" s="2"/>
      <c r="K346" s="2"/>
    </row>
    <row r="347" spans="9:11" ht="14.5" x14ac:dyDescent="0.35">
      <c r="I347" s="2"/>
      <c r="K347" s="2"/>
    </row>
    <row r="348" spans="9:11" ht="14.5" x14ac:dyDescent="0.35">
      <c r="I348" s="2"/>
      <c r="K348" s="2"/>
    </row>
    <row r="349" spans="9:11" ht="14.5" x14ac:dyDescent="0.35">
      <c r="I349" s="2"/>
      <c r="K349" s="2"/>
    </row>
    <row r="350" spans="9:11" ht="14.5" x14ac:dyDescent="0.35">
      <c r="I350" s="2"/>
      <c r="K350" s="2"/>
    </row>
    <row r="351" spans="9:11" ht="14.5" x14ac:dyDescent="0.35">
      <c r="I351" s="2"/>
      <c r="K351" s="2"/>
    </row>
    <row r="352" spans="9:11" ht="14.5" x14ac:dyDescent="0.35">
      <c r="I352" s="2"/>
      <c r="K352" s="2"/>
    </row>
    <row r="353" spans="9:11" ht="14.5" x14ac:dyDescent="0.35">
      <c r="I353" s="2"/>
      <c r="K353" s="2"/>
    </row>
    <row r="354" spans="9:11" ht="14.5" x14ac:dyDescent="0.35">
      <c r="I354" s="2"/>
      <c r="K354" s="2"/>
    </row>
    <row r="355" spans="9:11" ht="14.5" x14ac:dyDescent="0.35">
      <c r="I355" s="2"/>
      <c r="K355" s="2"/>
    </row>
    <row r="356" spans="9:11" ht="14.5" x14ac:dyDescent="0.35">
      <c r="I356" s="2"/>
      <c r="K356" s="2"/>
    </row>
    <row r="357" spans="9:11" ht="14.5" x14ac:dyDescent="0.35">
      <c r="I357" s="2"/>
      <c r="K357" s="2"/>
    </row>
    <row r="358" spans="9:11" ht="14.5" x14ac:dyDescent="0.35">
      <c r="I358" s="2"/>
      <c r="K358" s="2"/>
    </row>
    <row r="359" spans="9:11" ht="14.5" x14ac:dyDescent="0.35">
      <c r="I359" s="2"/>
      <c r="K359" s="2"/>
    </row>
    <row r="360" spans="9:11" ht="14.5" x14ac:dyDescent="0.35">
      <c r="I360" s="2"/>
      <c r="K360" s="2"/>
    </row>
    <row r="361" spans="9:11" ht="14.5" x14ac:dyDescent="0.35">
      <c r="I361" s="2"/>
      <c r="K361" s="2"/>
    </row>
    <row r="362" spans="9:11" ht="14.5" x14ac:dyDescent="0.35">
      <c r="I362" s="2"/>
      <c r="K362" s="2"/>
    </row>
    <row r="363" spans="9:11" ht="14.5" x14ac:dyDescent="0.35">
      <c r="I363" s="2"/>
      <c r="K363" s="2"/>
    </row>
    <row r="364" spans="9:11" ht="14.5" x14ac:dyDescent="0.35">
      <c r="I364" s="2"/>
      <c r="K364" s="2"/>
    </row>
    <row r="365" spans="9:11" ht="14.5" x14ac:dyDescent="0.35">
      <c r="I365" s="2"/>
      <c r="K365" s="2"/>
    </row>
    <row r="366" spans="9:11" ht="14.5" x14ac:dyDescent="0.35">
      <c r="I366" s="2"/>
      <c r="K366" s="2"/>
    </row>
    <row r="367" spans="9:11" ht="14.5" x14ac:dyDescent="0.35">
      <c r="I367" s="2"/>
      <c r="K367" s="2"/>
    </row>
    <row r="368" spans="9:11" ht="14.5" x14ac:dyDescent="0.35">
      <c r="I368" s="2"/>
      <c r="K368" s="2"/>
    </row>
    <row r="369" spans="9:11" ht="14.5" x14ac:dyDescent="0.35">
      <c r="I369" s="2"/>
      <c r="K369" s="2"/>
    </row>
    <row r="370" spans="9:11" ht="14.5" x14ac:dyDescent="0.35">
      <c r="I370" s="2"/>
      <c r="K370" s="2"/>
    </row>
    <row r="371" spans="9:11" ht="14.5" x14ac:dyDescent="0.35">
      <c r="I371" s="2"/>
      <c r="K371" s="2"/>
    </row>
    <row r="372" spans="9:11" ht="14.5" x14ac:dyDescent="0.35">
      <c r="I372" s="2"/>
      <c r="K372" s="2"/>
    </row>
    <row r="373" spans="9:11" ht="14.5" x14ac:dyDescent="0.35">
      <c r="I373" s="2"/>
      <c r="K373" s="2"/>
    </row>
    <row r="374" spans="9:11" ht="14.5" x14ac:dyDescent="0.35">
      <c r="I374" s="2"/>
      <c r="K374" s="2"/>
    </row>
    <row r="375" spans="9:11" ht="14.5" x14ac:dyDescent="0.35">
      <c r="I375" s="2"/>
      <c r="K375" s="2"/>
    </row>
    <row r="376" spans="9:11" ht="14.5" x14ac:dyDescent="0.35">
      <c r="I376" s="2"/>
      <c r="K376" s="2"/>
    </row>
    <row r="377" spans="9:11" ht="14.5" x14ac:dyDescent="0.35">
      <c r="I377" s="2"/>
      <c r="K377" s="2"/>
    </row>
    <row r="378" spans="9:11" ht="14.5" x14ac:dyDescent="0.35">
      <c r="I378" s="2"/>
      <c r="K378" s="2"/>
    </row>
    <row r="379" spans="9:11" ht="14.5" x14ac:dyDescent="0.35">
      <c r="I379" s="2"/>
      <c r="K379" s="2"/>
    </row>
    <row r="380" spans="9:11" ht="14.5" x14ac:dyDescent="0.35">
      <c r="I380" s="2"/>
      <c r="K380" s="2"/>
    </row>
    <row r="381" spans="9:11" ht="14.5" x14ac:dyDescent="0.35">
      <c r="I381" s="2"/>
      <c r="K381" s="2"/>
    </row>
    <row r="382" spans="9:11" ht="14.5" x14ac:dyDescent="0.35">
      <c r="I382" s="2"/>
      <c r="K382" s="2"/>
    </row>
    <row r="383" spans="9:11" ht="14.5" x14ac:dyDescent="0.35">
      <c r="I383" s="2"/>
      <c r="K383" s="2"/>
    </row>
    <row r="384" spans="9:11" ht="14.5" x14ac:dyDescent="0.35">
      <c r="I384" s="2"/>
      <c r="K384" s="2"/>
    </row>
    <row r="385" spans="9:11" ht="14.5" x14ac:dyDescent="0.35">
      <c r="I385" s="2"/>
      <c r="K385" s="2"/>
    </row>
    <row r="386" spans="9:11" ht="14.5" x14ac:dyDescent="0.35">
      <c r="I386" s="2"/>
      <c r="K386" s="2"/>
    </row>
    <row r="387" spans="9:11" ht="14.5" x14ac:dyDescent="0.35">
      <c r="I387" s="2"/>
      <c r="K387" s="2"/>
    </row>
    <row r="388" spans="9:11" ht="14.5" x14ac:dyDescent="0.35">
      <c r="I388" s="2"/>
      <c r="K388" s="2"/>
    </row>
    <row r="389" spans="9:11" ht="14.5" x14ac:dyDescent="0.35">
      <c r="I389" s="2"/>
      <c r="K389" s="2"/>
    </row>
    <row r="390" spans="9:11" ht="14.5" x14ac:dyDescent="0.35">
      <c r="I390" s="2"/>
      <c r="K390" s="2"/>
    </row>
    <row r="391" spans="9:11" ht="14.5" x14ac:dyDescent="0.35">
      <c r="I391" s="2"/>
      <c r="K391" s="2"/>
    </row>
    <row r="392" spans="9:11" ht="14.5" x14ac:dyDescent="0.35">
      <c r="I392" s="2"/>
      <c r="K392" s="2"/>
    </row>
    <row r="393" spans="9:11" ht="14.5" x14ac:dyDescent="0.35">
      <c r="I393" s="2"/>
      <c r="K393" s="2"/>
    </row>
    <row r="394" spans="9:11" ht="14.5" x14ac:dyDescent="0.35">
      <c r="I394" s="2"/>
      <c r="K394" s="2"/>
    </row>
    <row r="395" spans="9:11" ht="14.5" x14ac:dyDescent="0.35">
      <c r="I395" s="2"/>
      <c r="K395" s="2"/>
    </row>
    <row r="396" spans="9:11" ht="14.5" x14ac:dyDescent="0.35">
      <c r="I396" s="2"/>
      <c r="K396" s="2"/>
    </row>
    <row r="397" spans="9:11" ht="14.5" x14ac:dyDescent="0.35">
      <c r="I397" s="2"/>
      <c r="K397" s="2"/>
    </row>
    <row r="398" spans="9:11" ht="14.5" x14ac:dyDescent="0.35">
      <c r="I398" s="2"/>
      <c r="K398" s="2"/>
    </row>
    <row r="399" spans="9:11" ht="14.5" x14ac:dyDescent="0.35">
      <c r="I399" s="2"/>
      <c r="K399" s="2"/>
    </row>
    <row r="400" spans="9:11" ht="14.5" x14ac:dyDescent="0.35">
      <c r="I400" s="2"/>
      <c r="K400" s="2"/>
    </row>
    <row r="401" spans="9:11" ht="14.5" x14ac:dyDescent="0.35">
      <c r="I401" s="2"/>
      <c r="K401" s="2"/>
    </row>
    <row r="402" spans="9:11" ht="14.5" x14ac:dyDescent="0.35">
      <c r="I402" s="2"/>
      <c r="K402" s="2"/>
    </row>
    <row r="403" spans="9:11" ht="14.5" x14ac:dyDescent="0.35">
      <c r="I403" s="2"/>
      <c r="K403" s="2"/>
    </row>
    <row r="404" spans="9:11" ht="14.5" x14ac:dyDescent="0.35">
      <c r="I404" s="2"/>
      <c r="K404" s="2"/>
    </row>
    <row r="405" spans="9:11" ht="14.5" x14ac:dyDescent="0.35">
      <c r="I405" s="2"/>
      <c r="K405" s="2"/>
    </row>
    <row r="406" spans="9:11" ht="14.5" x14ac:dyDescent="0.35">
      <c r="I406" s="2"/>
      <c r="K406" s="2"/>
    </row>
    <row r="407" spans="9:11" ht="14.5" x14ac:dyDescent="0.35">
      <c r="I407" s="2"/>
      <c r="K407" s="2"/>
    </row>
    <row r="408" spans="9:11" ht="14.5" x14ac:dyDescent="0.35">
      <c r="I408" s="2"/>
      <c r="K408" s="2"/>
    </row>
    <row r="409" spans="9:11" ht="14.5" x14ac:dyDescent="0.35">
      <c r="I409" s="2"/>
      <c r="K409" s="2"/>
    </row>
    <row r="410" spans="9:11" ht="14.5" x14ac:dyDescent="0.35">
      <c r="I410" s="2"/>
      <c r="K410" s="2"/>
    </row>
    <row r="411" spans="9:11" ht="14.5" x14ac:dyDescent="0.35">
      <c r="I411" s="2"/>
      <c r="K411" s="2"/>
    </row>
    <row r="412" spans="9:11" ht="14.5" x14ac:dyDescent="0.35">
      <c r="I412" s="2"/>
      <c r="K412" s="2"/>
    </row>
    <row r="413" spans="9:11" ht="14.5" x14ac:dyDescent="0.35">
      <c r="I413" s="2"/>
      <c r="K413" s="2"/>
    </row>
    <row r="414" spans="9:11" ht="14.5" x14ac:dyDescent="0.35">
      <c r="I414" s="2"/>
      <c r="K414" s="2"/>
    </row>
    <row r="415" spans="9:11" ht="14.5" x14ac:dyDescent="0.35">
      <c r="I415" s="2"/>
      <c r="K415" s="2"/>
    </row>
    <row r="416" spans="9:11" ht="14.5" x14ac:dyDescent="0.35">
      <c r="I416" s="2"/>
      <c r="K416" s="2"/>
    </row>
    <row r="417" spans="9:11" ht="14.5" x14ac:dyDescent="0.35">
      <c r="I417" s="2"/>
      <c r="K417" s="2"/>
    </row>
    <row r="418" spans="9:11" ht="14.5" x14ac:dyDescent="0.35">
      <c r="I418" s="2"/>
      <c r="K418" s="2"/>
    </row>
    <row r="419" spans="9:11" ht="14.5" x14ac:dyDescent="0.35">
      <c r="I419" s="2"/>
      <c r="K419" s="2"/>
    </row>
    <row r="420" spans="9:11" ht="14.5" x14ac:dyDescent="0.35">
      <c r="I420" s="2"/>
      <c r="K420" s="2"/>
    </row>
    <row r="421" spans="9:11" ht="14.5" x14ac:dyDescent="0.35">
      <c r="I421" s="2"/>
      <c r="K421" s="2"/>
    </row>
    <row r="422" spans="9:11" ht="14.5" x14ac:dyDescent="0.35">
      <c r="I422" s="2"/>
      <c r="K422" s="2"/>
    </row>
    <row r="423" spans="9:11" ht="14.5" x14ac:dyDescent="0.35">
      <c r="I423" s="2"/>
      <c r="K423" s="2"/>
    </row>
    <row r="424" spans="9:11" ht="14.5" x14ac:dyDescent="0.35">
      <c r="I424" s="2"/>
      <c r="K424" s="2"/>
    </row>
    <row r="425" spans="9:11" ht="14.5" x14ac:dyDescent="0.35">
      <c r="I425" s="2"/>
      <c r="K425" s="2"/>
    </row>
    <row r="426" spans="9:11" ht="14.5" x14ac:dyDescent="0.35">
      <c r="I426" s="2"/>
      <c r="K426" s="2"/>
    </row>
    <row r="427" spans="9:11" ht="14.5" x14ac:dyDescent="0.35">
      <c r="I427" s="2"/>
      <c r="K427" s="2"/>
    </row>
    <row r="428" spans="9:11" ht="14.5" x14ac:dyDescent="0.35">
      <c r="I428" s="2"/>
      <c r="K428" s="2"/>
    </row>
    <row r="429" spans="9:11" ht="14.5" x14ac:dyDescent="0.35">
      <c r="I429" s="2"/>
      <c r="K429" s="2"/>
    </row>
    <row r="430" spans="9:11" ht="14.5" x14ac:dyDescent="0.35">
      <c r="I430" s="2"/>
      <c r="K430" s="2"/>
    </row>
    <row r="431" spans="9:11" ht="14.5" x14ac:dyDescent="0.35">
      <c r="I431" s="2"/>
      <c r="K431" s="2"/>
    </row>
    <row r="432" spans="9:11" ht="14.5" x14ac:dyDescent="0.35">
      <c r="I432" s="2"/>
      <c r="K432" s="2"/>
    </row>
    <row r="433" spans="9:11" ht="14.5" x14ac:dyDescent="0.35">
      <c r="I433" s="2"/>
      <c r="K433" s="2"/>
    </row>
    <row r="434" spans="9:11" ht="14.5" x14ac:dyDescent="0.35">
      <c r="I434" s="2"/>
      <c r="K434" s="2"/>
    </row>
    <row r="435" spans="9:11" ht="14.5" x14ac:dyDescent="0.35">
      <c r="I435" s="2"/>
      <c r="K435" s="2"/>
    </row>
    <row r="436" spans="9:11" ht="14.5" x14ac:dyDescent="0.35">
      <c r="I436" s="2"/>
      <c r="K436" s="2"/>
    </row>
    <row r="437" spans="9:11" ht="14.5" x14ac:dyDescent="0.35">
      <c r="I437" s="2"/>
      <c r="K437" s="2"/>
    </row>
    <row r="438" spans="9:11" ht="14.5" x14ac:dyDescent="0.35">
      <c r="I438" s="2"/>
      <c r="K438" s="2"/>
    </row>
    <row r="439" spans="9:11" ht="14.5" x14ac:dyDescent="0.35">
      <c r="I439" s="2"/>
      <c r="K439" s="2"/>
    </row>
    <row r="440" spans="9:11" ht="14.5" x14ac:dyDescent="0.35">
      <c r="I440" s="2"/>
      <c r="K440" s="2"/>
    </row>
    <row r="441" spans="9:11" ht="14.5" x14ac:dyDescent="0.35">
      <c r="I441" s="2"/>
      <c r="K441" s="2"/>
    </row>
    <row r="442" spans="9:11" ht="14.5" x14ac:dyDescent="0.35">
      <c r="I442" s="2"/>
      <c r="K442" s="2"/>
    </row>
    <row r="443" spans="9:11" ht="14.5" x14ac:dyDescent="0.35">
      <c r="I443" s="2"/>
      <c r="K443" s="2"/>
    </row>
    <row r="444" spans="9:11" ht="14.5" x14ac:dyDescent="0.35">
      <c r="I444" s="2"/>
      <c r="K444" s="2"/>
    </row>
    <row r="445" spans="9:11" ht="14.5" x14ac:dyDescent="0.35">
      <c r="I445" s="2"/>
      <c r="K445" s="2"/>
    </row>
    <row r="446" spans="9:11" ht="14.5" x14ac:dyDescent="0.35">
      <c r="I446" s="2"/>
      <c r="K446" s="2"/>
    </row>
    <row r="447" spans="9:11" ht="14.5" x14ac:dyDescent="0.35">
      <c r="I447" s="2"/>
      <c r="K447" s="2"/>
    </row>
    <row r="448" spans="9:11" ht="14.5" x14ac:dyDescent="0.35">
      <c r="I448" s="2"/>
      <c r="K448" s="2"/>
    </row>
    <row r="449" spans="9:11" ht="14.5" x14ac:dyDescent="0.35">
      <c r="I449" s="2"/>
      <c r="K449" s="2"/>
    </row>
    <row r="450" spans="9:11" ht="14.5" x14ac:dyDescent="0.35">
      <c r="I450" s="2"/>
      <c r="K450" s="2"/>
    </row>
    <row r="451" spans="9:11" ht="14.5" x14ac:dyDescent="0.35">
      <c r="I451" s="2"/>
      <c r="K451" s="2"/>
    </row>
    <row r="452" spans="9:11" ht="14.5" x14ac:dyDescent="0.35">
      <c r="I452" s="2"/>
      <c r="K452" s="2"/>
    </row>
    <row r="453" spans="9:11" ht="14.5" x14ac:dyDescent="0.35">
      <c r="I453" s="2"/>
      <c r="K453" s="2"/>
    </row>
    <row r="454" spans="9:11" ht="14.5" x14ac:dyDescent="0.35">
      <c r="I454" s="2"/>
      <c r="K454" s="2"/>
    </row>
    <row r="455" spans="9:11" ht="14.5" x14ac:dyDescent="0.35">
      <c r="I455" s="2"/>
      <c r="K455" s="2"/>
    </row>
    <row r="456" spans="9:11" ht="14.5" x14ac:dyDescent="0.35">
      <c r="I456" s="2"/>
      <c r="K456" s="2"/>
    </row>
    <row r="457" spans="9:11" ht="14.5" x14ac:dyDescent="0.35">
      <c r="I457" s="2"/>
      <c r="K457" s="2"/>
    </row>
    <row r="458" spans="9:11" ht="14.5" x14ac:dyDescent="0.35">
      <c r="I458" s="2"/>
      <c r="K458" s="2"/>
    </row>
    <row r="459" spans="9:11" ht="14.5" x14ac:dyDescent="0.35">
      <c r="I459" s="2"/>
      <c r="K459" s="2"/>
    </row>
    <row r="460" spans="9:11" ht="14.5" x14ac:dyDescent="0.35">
      <c r="I460" s="2"/>
      <c r="K460" s="2"/>
    </row>
    <row r="461" spans="9:11" ht="14.5" x14ac:dyDescent="0.35">
      <c r="I461" s="2"/>
      <c r="K461" s="2"/>
    </row>
    <row r="462" spans="9:11" ht="14.5" x14ac:dyDescent="0.35">
      <c r="I462" s="2"/>
      <c r="K462" s="2"/>
    </row>
    <row r="463" spans="9:11" ht="14.5" x14ac:dyDescent="0.35">
      <c r="I463" s="2"/>
      <c r="K463" s="2"/>
    </row>
    <row r="464" spans="9:11" ht="14.5" x14ac:dyDescent="0.35">
      <c r="I464" s="2"/>
      <c r="K464" s="2"/>
    </row>
    <row r="465" spans="9:11" ht="14.5" x14ac:dyDescent="0.35">
      <c r="I465" s="2"/>
      <c r="K465" s="2"/>
    </row>
    <row r="466" spans="9:11" ht="14.5" x14ac:dyDescent="0.35">
      <c r="I466" s="2"/>
      <c r="K466" s="2"/>
    </row>
    <row r="467" spans="9:11" ht="14.5" x14ac:dyDescent="0.35">
      <c r="I467" s="2"/>
      <c r="K467" s="2"/>
    </row>
    <row r="468" spans="9:11" ht="14.5" x14ac:dyDescent="0.35">
      <c r="I468" s="2"/>
      <c r="K468" s="2"/>
    </row>
    <row r="469" spans="9:11" ht="14.5" x14ac:dyDescent="0.35">
      <c r="I469" s="2"/>
      <c r="K469" s="2"/>
    </row>
    <row r="470" spans="9:11" ht="14.5" x14ac:dyDescent="0.35">
      <c r="I470" s="2"/>
      <c r="K470" s="2"/>
    </row>
    <row r="471" spans="9:11" ht="14.5" x14ac:dyDescent="0.35">
      <c r="I471" s="2"/>
      <c r="K471" s="2"/>
    </row>
    <row r="472" spans="9:11" ht="14.5" x14ac:dyDescent="0.35">
      <c r="I472" s="2"/>
      <c r="K472" s="2"/>
    </row>
    <row r="473" spans="9:11" ht="14.5" x14ac:dyDescent="0.35">
      <c r="I473" s="2"/>
      <c r="K473" s="2"/>
    </row>
    <row r="474" spans="9:11" ht="14.5" x14ac:dyDescent="0.35">
      <c r="I474" s="2"/>
      <c r="K474" s="2"/>
    </row>
    <row r="475" spans="9:11" ht="14.5" x14ac:dyDescent="0.35">
      <c r="I475" s="2"/>
      <c r="K475" s="2"/>
    </row>
    <row r="476" spans="9:11" ht="14.5" x14ac:dyDescent="0.35">
      <c r="I476" s="2"/>
      <c r="K476" s="2"/>
    </row>
    <row r="477" spans="9:11" ht="14.5" x14ac:dyDescent="0.35">
      <c r="I477" s="2"/>
      <c r="K477" s="2"/>
    </row>
    <row r="478" spans="9:11" ht="14.5" x14ac:dyDescent="0.35">
      <c r="I478" s="2"/>
      <c r="K478" s="2"/>
    </row>
    <row r="479" spans="9:11" ht="14.5" x14ac:dyDescent="0.35">
      <c r="I479" s="2"/>
      <c r="K479" s="2"/>
    </row>
    <row r="480" spans="9:11" ht="14.5" x14ac:dyDescent="0.35">
      <c r="I480" s="2"/>
      <c r="K480" s="2"/>
    </row>
    <row r="481" spans="9:11" ht="14.5" x14ac:dyDescent="0.35">
      <c r="I481" s="2"/>
      <c r="K481" s="2"/>
    </row>
    <row r="482" spans="9:11" ht="14.5" x14ac:dyDescent="0.35">
      <c r="I482" s="2"/>
      <c r="K482" s="2"/>
    </row>
    <row r="483" spans="9:11" ht="14.5" x14ac:dyDescent="0.35">
      <c r="I483" s="2"/>
      <c r="K483" s="2"/>
    </row>
    <row r="484" spans="9:11" ht="14.5" x14ac:dyDescent="0.35">
      <c r="I484" s="2"/>
      <c r="K484" s="2"/>
    </row>
    <row r="485" spans="9:11" ht="14.5" x14ac:dyDescent="0.35">
      <c r="I485" s="2"/>
      <c r="K485" s="2"/>
    </row>
    <row r="486" spans="9:11" ht="14.5" x14ac:dyDescent="0.35">
      <c r="I486" s="2"/>
      <c r="K486" s="2"/>
    </row>
    <row r="487" spans="9:11" ht="14.5" x14ac:dyDescent="0.35">
      <c r="I487" s="2"/>
      <c r="K487" s="2"/>
    </row>
    <row r="488" spans="9:11" ht="14.5" x14ac:dyDescent="0.35">
      <c r="I488" s="2"/>
      <c r="K488" s="2"/>
    </row>
    <row r="489" spans="9:11" ht="14.5" x14ac:dyDescent="0.35">
      <c r="I489" s="2"/>
      <c r="K489" s="2"/>
    </row>
    <row r="490" spans="9:11" ht="14.5" x14ac:dyDescent="0.35">
      <c r="I490" s="2"/>
      <c r="K490" s="2"/>
    </row>
    <row r="491" spans="9:11" ht="14.5" x14ac:dyDescent="0.35">
      <c r="I491" s="2"/>
      <c r="K491" s="2"/>
    </row>
    <row r="492" spans="9:11" ht="14.5" x14ac:dyDescent="0.35">
      <c r="I492" s="2"/>
      <c r="K492" s="2"/>
    </row>
    <row r="493" spans="9:11" ht="14.5" x14ac:dyDescent="0.35">
      <c r="I493" s="2"/>
      <c r="K493" s="2"/>
    </row>
    <row r="494" spans="9:11" ht="14.5" x14ac:dyDescent="0.35">
      <c r="I494" s="2"/>
      <c r="K494" s="2"/>
    </row>
    <row r="495" spans="9:11" ht="14.5" x14ac:dyDescent="0.35">
      <c r="I495" s="2"/>
      <c r="K495" s="2"/>
    </row>
    <row r="496" spans="9:11" ht="14.5" x14ac:dyDescent="0.35">
      <c r="I496" s="2"/>
      <c r="K496" s="2"/>
    </row>
    <row r="497" spans="9:11" ht="14.5" x14ac:dyDescent="0.35">
      <c r="I497" s="2"/>
      <c r="K497" s="2"/>
    </row>
    <row r="498" spans="9:11" ht="14.5" x14ac:dyDescent="0.35">
      <c r="I498" s="2"/>
      <c r="K498" s="2"/>
    </row>
    <row r="499" spans="9:11" ht="14.5" x14ac:dyDescent="0.35">
      <c r="I499" s="2"/>
      <c r="K499" s="2"/>
    </row>
    <row r="500" spans="9:11" ht="14.5" x14ac:dyDescent="0.35">
      <c r="I500" s="2"/>
      <c r="K500" s="2"/>
    </row>
    <row r="501" spans="9:11" ht="14.5" x14ac:dyDescent="0.35">
      <c r="I501" s="2"/>
      <c r="K501" s="2"/>
    </row>
    <row r="502" spans="9:11" ht="14.5" x14ac:dyDescent="0.35">
      <c r="I502" s="2"/>
      <c r="K502" s="2"/>
    </row>
    <row r="503" spans="9:11" ht="14.5" x14ac:dyDescent="0.35">
      <c r="I503" s="2"/>
      <c r="K503" s="2"/>
    </row>
    <row r="504" spans="9:11" ht="14.5" x14ac:dyDescent="0.35">
      <c r="I504" s="2"/>
      <c r="K504" s="2"/>
    </row>
    <row r="505" spans="9:11" ht="14.5" x14ac:dyDescent="0.35">
      <c r="I505" s="2"/>
      <c r="K505" s="2"/>
    </row>
    <row r="506" spans="9:11" ht="14.5" x14ac:dyDescent="0.35">
      <c r="I506" s="2"/>
      <c r="K506" s="2"/>
    </row>
    <row r="507" spans="9:11" ht="14.5" x14ac:dyDescent="0.35">
      <c r="I507" s="2"/>
      <c r="K507" s="2"/>
    </row>
    <row r="508" spans="9:11" ht="14.5" x14ac:dyDescent="0.35">
      <c r="I508" s="2"/>
      <c r="K508" s="2"/>
    </row>
    <row r="509" spans="9:11" ht="14.5" x14ac:dyDescent="0.35">
      <c r="I509" s="2"/>
      <c r="K509" s="2"/>
    </row>
    <row r="510" spans="9:11" ht="14.5" x14ac:dyDescent="0.35">
      <c r="I510" s="2"/>
      <c r="K510" s="2"/>
    </row>
    <row r="511" spans="9:11" ht="14.5" x14ac:dyDescent="0.35">
      <c r="I511" s="2"/>
      <c r="K511" s="2"/>
    </row>
    <row r="512" spans="9:11" ht="14.5" x14ac:dyDescent="0.35">
      <c r="I512" s="2"/>
      <c r="K512" s="2"/>
    </row>
    <row r="513" spans="9:11" ht="14.5" x14ac:dyDescent="0.35">
      <c r="I513" s="2"/>
      <c r="K513" s="2"/>
    </row>
    <row r="514" spans="9:11" ht="14.5" x14ac:dyDescent="0.35">
      <c r="I514" s="2"/>
      <c r="K514" s="2"/>
    </row>
    <row r="515" spans="9:11" ht="14.5" x14ac:dyDescent="0.35">
      <c r="I515" s="2"/>
      <c r="K515" s="2"/>
    </row>
    <row r="516" spans="9:11" ht="14.5" x14ac:dyDescent="0.35">
      <c r="I516" s="2"/>
      <c r="K516" s="2"/>
    </row>
    <row r="517" spans="9:11" ht="14.5" x14ac:dyDescent="0.35">
      <c r="I517" s="2"/>
      <c r="K517" s="2"/>
    </row>
    <row r="518" spans="9:11" ht="14.5" x14ac:dyDescent="0.35">
      <c r="I518" s="2"/>
      <c r="K518" s="2"/>
    </row>
    <row r="519" spans="9:11" ht="14.5" x14ac:dyDescent="0.35">
      <c r="I519" s="2"/>
      <c r="K519" s="2"/>
    </row>
    <row r="520" spans="9:11" ht="14.5" x14ac:dyDescent="0.35">
      <c r="I520" s="2"/>
      <c r="K520" s="2"/>
    </row>
    <row r="521" spans="9:11" ht="14.5" x14ac:dyDescent="0.35">
      <c r="I521" s="2"/>
      <c r="K521" s="2"/>
    </row>
    <row r="522" spans="9:11" ht="14.5" x14ac:dyDescent="0.35">
      <c r="I522" s="2"/>
      <c r="K522" s="2"/>
    </row>
    <row r="523" spans="9:11" ht="14.5" x14ac:dyDescent="0.35">
      <c r="I523" s="2"/>
      <c r="K523" s="2"/>
    </row>
    <row r="524" spans="9:11" ht="14.5" x14ac:dyDescent="0.35">
      <c r="I524" s="2"/>
      <c r="K524" s="2"/>
    </row>
    <row r="525" spans="9:11" ht="14.5" x14ac:dyDescent="0.35">
      <c r="I525" s="2"/>
      <c r="K525" s="2"/>
    </row>
    <row r="526" spans="9:11" ht="14.5" x14ac:dyDescent="0.35">
      <c r="I526" s="2"/>
      <c r="K526" s="2"/>
    </row>
    <row r="527" spans="9:11" ht="14.5" x14ac:dyDescent="0.35">
      <c r="I527" s="2"/>
      <c r="K527" s="2"/>
    </row>
    <row r="528" spans="9:11" ht="14.5" x14ac:dyDescent="0.35">
      <c r="I528" s="2"/>
      <c r="K528" s="2"/>
    </row>
    <row r="529" spans="9:11" ht="14.5" x14ac:dyDescent="0.35">
      <c r="I529" s="2"/>
      <c r="K529" s="2"/>
    </row>
    <row r="530" spans="9:11" ht="14.5" x14ac:dyDescent="0.35">
      <c r="I530" s="2"/>
      <c r="K530" s="2"/>
    </row>
    <row r="531" spans="9:11" ht="14.5" x14ac:dyDescent="0.35">
      <c r="I531" s="2"/>
      <c r="K531" s="2"/>
    </row>
    <row r="532" spans="9:11" ht="14.5" x14ac:dyDescent="0.35">
      <c r="I532" s="2"/>
      <c r="K532" s="2"/>
    </row>
    <row r="533" spans="9:11" ht="14.5" x14ac:dyDescent="0.35">
      <c r="I533" s="2"/>
      <c r="K533" s="2"/>
    </row>
    <row r="534" spans="9:11" ht="14.5" x14ac:dyDescent="0.35">
      <c r="I534" s="2"/>
      <c r="K534" s="2"/>
    </row>
    <row r="535" spans="9:11" ht="14.5" x14ac:dyDescent="0.35">
      <c r="I535" s="2"/>
      <c r="K535" s="2"/>
    </row>
    <row r="536" spans="9:11" ht="14.5" x14ac:dyDescent="0.35">
      <c r="I536" s="2"/>
      <c r="K536" s="2"/>
    </row>
    <row r="537" spans="9:11" ht="14.5" x14ac:dyDescent="0.35">
      <c r="I537" s="2"/>
      <c r="K537" s="2"/>
    </row>
    <row r="538" spans="9:11" ht="14.5" x14ac:dyDescent="0.35">
      <c r="I538" s="2"/>
      <c r="K538" s="2"/>
    </row>
    <row r="539" spans="9:11" ht="14.5" x14ac:dyDescent="0.35">
      <c r="I539" s="2"/>
      <c r="K539" s="2"/>
    </row>
    <row r="540" spans="9:11" ht="14.5" x14ac:dyDescent="0.35">
      <c r="I540" s="2"/>
      <c r="K540" s="2"/>
    </row>
    <row r="541" spans="9:11" ht="14.5" x14ac:dyDescent="0.35">
      <c r="I541" s="2"/>
      <c r="K541" s="2"/>
    </row>
    <row r="542" spans="9:11" ht="14.5" x14ac:dyDescent="0.35">
      <c r="I542" s="2"/>
      <c r="K542" s="2"/>
    </row>
    <row r="543" spans="9:11" ht="14.5" x14ac:dyDescent="0.35">
      <c r="I543" s="2"/>
      <c r="K543" s="2"/>
    </row>
    <row r="544" spans="9:11" ht="14.5" x14ac:dyDescent="0.35">
      <c r="I544" s="2"/>
      <c r="K544" s="2"/>
    </row>
    <row r="545" spans="9:11" ht="14.5" x14ac:dyDescent="0.35">
      <c r="I545" s="2"/>
      <c r="K545" s="2"/>
    </row>
    <row r="546" spans="9:11" ht="14.5" x14ac:dyDescent="0.35">
      <c r="I546" s="2"/>
      <c r="K546" s="2"/>
    </row>
    <row r="547" spans="9:11" ht="14.5" x14ac:dyDescent="0.35">
      <c r="I547" s="2"/>
      <c r="K547" s="2"/>
    </row>
    <row r="548" spans="9:11" ht="14.5" x14ac:dyDescent="0.35">
      <c r="I548" s="2"/>
      <c r="K548" s="2"/>
    </row>
    <row r="549" spans="9:11" ht="14.5" x14ac:dyDescent="0.35">
      <c r="I549" s="2"/>
      <c r="K549" s="2"/>
    </row>
    <row r="550" spans="9:11" ht="14.5" x14ac:dyDescent="0.35">
      <c r="I550" s="2"/>
      <c r="K550" s="2"/>
    </row>
    <row r="551" spans="9:11" ht="14.5" x14ac:dyDescent="0.35">
      <c r="I551" s="2"/>
      <c r="K551" s="2"/>
    </row>
    <row r="552" spans="9:11" ht="14.5" x14ac:dyDescent="0.35">
      <c r="I552" s="2"/>
      <c r="K552" s="2"/>
    </row>
    <row r="553" spans="9:11" ht="14.5" x14ac:dyDescent="0.35">
      <c r="I553" s="2"/>
      <c r="K553" s="2"/>
    </row>
    <row r="554" spans="9:11" ht="14.5" x14ac:dyDescent="0.35">
      <c r="I554" s="2"/>
      <c r="K554" s="2"/>
    </row>
    <row r="555" spans="9:11" ht="14.5" x14ac:dyDescent="0.35">
      <c r="I555" s="2"/>
      <c r="K555" s="2"/>
    </row>
    <row r="556" spans="9:11" ht="14.5" x14ac:dyDescent="0.35">
      <c r="I556" s="2"/>
      <c r="K556" s="2"/>
    </row>
    <row r="557" spans="9:11" ht="14.5" x14ac:dyDescent="0.35">
      <c r="I557" s="2"/>
      <c r="K557" s="2"/>
    </row>
    <row r="558" spans="9:11" ht="14.5" x14ac:dyDescent="0.35">
      <c r="I558" s="2"/>
      <c r="K558" s="2"/>
    </row>
    <row r="559" spans="9:11" ht="14.5" x14ac:dyDescent="0.35">
      <c r="I559" s="2"/>
      <c r="K559" s="2"/>
    </row>
    <row r="560" spans="9:11" ht="14.5" x14ac:dyDescent="0.35">
      <c r="I560" s="2"/>
      <c r="K560" s="2"/>
    </row>
    <row r="561" spans="9:11" ht="14.5" x14ac:dyDescent="0.35">
      <c r="I561" s="2"/>
      <c r="K561" s="2"/>
    </row>
    <row r="562" spans="9:11" ht="14.5" x14ac:dyDescent="0.35">
      <c r="I562" s="2"/>
      <c r="K562" s="2"/>
    </row>
    <row r="563" spans="9:11" ht="14.5" x14ac:dyDescent="0.35">
      <c r="I563" s="2"/>
      <c r="K563" s="2"/>
    </row>
    <row r="564" spans="9:11" ht="14.5" x14ac:dyDescent="0.35">
      <c r="I564" s="2"/>
      <c r="K564" s="2"/>
    </row>
    <row r="565" spans="9:11" ht="14.5" x14ac:dyDescent="0.35">
      <c r="I565" s="2"/>
      <c r="K565" s="2"/>
    </row>
    <row r="566" spans="9:11" ht="14.5" x14ac:dyDescent="0.35">
      <c r="I566" s="2"/>
      <c r="K566" s="2"/>
    </row>
    <row r="567" spans="9:11" ht="14.5" x14ac:dyDescent="0.35">
      <c r="I567" s="2"/>
      <c r="K567" s="2"/>
    </row>
    <row r="568" spans="9:11" ht="14.5" x14ac:dyDescent="0.35">
      <c r="I568" s="2"/>
      <c r="K568" s="2"/>
    </row>
    <row r="569" spans="9:11" ht="14.5" x14ac:dyDescent="0.35">
      <c r="I569" s="2"/>
      <c r="K569" s="2"/>
    </row>
    <row r="570" spans="9:11" ht="14.5" x14ac:dyDescent="0.35">
      <c r="I570" s="2"/>
      <c r="K570" s="2"/>
    </row>
    <row r="571" spans="9:11" ht="14.5" x14ac:dyDescent="0.35">
      <c r="I571" s="2"/>
      <c r="K571" s="2"/>
    </row>
    <row r="572" spans="9:11" ht="14.5" x14ac:dyDescent="0.35">
      <c r="I572" s="2"/>
      <c r="K572" s="2"/>
    </row>
    <row r="573" spans="9:11" ht="14.5" x14ac:dyDescent="0.35">
      <c r="I573" s="2"/>
      <c r="K573" s="2"/>
    </row>
    <row r="574" spans="9:11" ht="14.5" x14ac:dyDescent="0.35">
      <c r="I574" s="2"/>
      <c r="K574" s="2"/>
    </row>
    <row r="575" spans="9:11" ht="14.5" x14ac:dyDescent="0.35">
      <c r="I575" s="2"/>
      <c r="K575" s="2"/>
    </row>
    <row r="576" spans="9:11" ht="14.5" x14ac:dyDescent="0.35">
      <c r="I576" s="2"/>
      <c r="K576" s="2"/>
    </row>
    <row r="577" spans="9:11" ht="14.5" x14ac:dyDescent="0.35">
      <c r="I577" s="2"/>
      <c r="K577" s="2"/>
    </row>
    <row r="578" spans="9:11" ht="14.5" x14ac:dyDescent="0.35">
      <c r="I578" s="2"/>
      <c r="K578" s="2"/>
    </row>
    <row r="579" spans="9:11" ht="14.5" x14ac:dyDescent="0.35">
      <c r="I579" s="2"/>
      <c r="K579" s="2"/>
    </row>
    <row r="580" spans="9:11" ht="14.5" x14ac:dyDescent="0.35">
      <c r="I580" s="2"/>
      <c r="K580" s="2"/>
    </row>
    <row r="581" spans="9:11" ht="14.5" x14ac:dyDescent="0.35">
      <c r="I581" s="2"/>
      <c r="K581" s="2"/>
    </row>
    <row r="582" spans="9:11" ht="14.5" x14ac:dyDescent="0.35">
      <c r="I582" s="2"/>
      <c r="K582" s="2"/>
    </row>
    <row r="583" spans="9:11" ht="14.5" x14ac:dyDescent="0.35">
      <c r="I583" s="2"/>
      <c r="K583" s="2"/>
    </row>
    <row r="584" spans="9:11" ht="14.5" x14ac:dyDescent="0.35">
      <c r="I584" s="2"/>
      <c r="K584" s="2"/>
    </row>
    <row r="585" spans="9:11" ht="14.5" x14ac:dyDescent="0.35">
      <c r="I585" s="2"/>
      <c r="K585" s="2"/>
    </row>
    <row r="586" spans="9:11" ht="14.5" x14ac:dyDescent="0.35">
      <c r="I586" s="2"/>
      <c r="K586" s="2"/>
    </row>
    <row r="587" spans="9:11" ht="14.5" x14ac:dyDescent="0.35">
      <c r="I587" s="2"/>
      <c r="K587" s="2"/>
    </row>
    <row r="588" spans="9:11" ht="14.5" x14ac:dyDescent="0.35">
      <c r="I588" s="2"/>
      <c r="K588" s="2"/>
    </row>
    <row r="589" spans="9:11" ht="14.5" x14ac:dyDescent="0.35">
      <c r="I589" s="2"/>
      <c r="K589" s="2"/>
    </row>
    <row r="590" spans="9:11" ht="14.5" x14ac:dyDescent="0.35">
      <c r="I590" s="2"/>
      <c r="K590" s="2"/>
    </row>
    <row r="591" spans="9:11" ht="14.5" x14ac:dyDescent="0.35">
      <c r="I591" s="2"/>
      <c r="K591" s="2"/>
    </row>
    <row r="592" spans="9:11" ht="14.5" x14ac:dyDescent="0.35">
      <c r="I592" s="2"/>
      <c r="K592" s="2"/>
    </row>
    <row r="593" spans="9:11" ht="14.5" x14ac:dyDescent="0.35">
      <c r="I593" s="2"/>
      <c r="K593" s="2"/>
    </row>
    <row r="594" spans="9:11" ht="14.5" x14ac:dyDescent="0.35">
      <c r="I594" s="2"/>
      <c r="K594" s="2"/>
    </row>
    <row r="595" spans="9:11" ht="14.5" x14ac:dyDescent="0.35">
      <c r="I595" s="2"/>
      <c r="K595" s="2"/>
    </row>
    <row r="596" spans="9:11" ht="14.5" x14ac:dyDescent="0.35">
      <c r="I596" s="2"/>
      <c r="K596" s="2"/>
    </row>
    <row r="597" spans="9:11" ht="14.5" x14ac:dyDescent="0.35">
      <c r="I597" s="2"/>
      <c r="K597" s="2"/>
    </row>
    <row r="598" spans="9:11" ht="14.5" x14ac:dyDescent="0.35">
      <c r="I598" s="2"/>
      <c r="K598" s="2"/>
    </row>
    <row r="599" spans="9:11" ht="14.5" x14ac:dyDescent="0.35">
      <c r="I599" s="2"/>
      <c r="K599" s="2"/>
    </row>
    <row r="600" spans="9:11" ht="14.5" x14ac:dyDescent="0.35">
      <c r="I600" s="2"/>
      <c r="K600" s="2"/>
    </row>
    <row r="601" spans="9:11" ht="14.5" x14ac:dyDescent="0.35">
      <c r="I601" s="2"/>
      <c r="K601" s="2"/>
    </row>
    <row r="602" spans="9:11" ht="14.5" x14ac:dyDescent="0.35">
      <c r="I602" s="2"/>
      <c r="K602" s="2"/>
    </row>
    <row r="603" spans="9:11" ht="14.5" x14ac:dyDescent="0.35">
      <c r="I603" s="2"/>
      <c r="K603" s="2"/>
    </row>
    <row r="604" spans="9:11" ht="14.5" x14ac:dyDescent="0.35">
      <c r="I604" s="2"/>
      <c r="K604" s="2"/>
    </row>
    <row r="605" spans="9:11" ht="14.5" x14ac:dyDescent="0.35">
      <c r="I605" s="2"/>
      <c r="K605" s="2"/>
    </row>
    <row r="606" spans="9:11" ht="14.5" x14ac:dyDescent="0.35">
      <c r="I606" s="2"/>
      <c r="K606" s="2"/>
    </row>
    <row r="607" spans="9:11" ht="14.5" x14ac:dyDescent="0.35">
      <c r="I607" s="2"/>
      <c r="K607" s="2"/>
    </row>
    <row r="608" spans="9:11" ht="14.5" x14ac:dyDescent="0.35">
      <c r="I608" s="2"/>
      <c r="K608" s="2"/>
    </row>
    <row r="609" spans="9:11" ht="14.5" x14ac:dyDescent="0.35">
      <c r="I609" s="2"/>
      <c r="K609" s="2"/>
    </row>
    <row r="610" spans="9:11" ht="14.5" x14ac:dyDescent="0.35">
      <c r="I610" s="2"/>
      <c r="K610" s="2"/>
    </row>
    <row r="611" spans="9:11" ht="14.5" x14ac:dyDescent="0.35">
      <c r="I611" s="2"/>
      <c r="K611" s="2"/>
    </row>
    <row r="612" spans="9:11" ht="14.5" x14ac:dyDescent="0.35">
      <c r="I612" s="2"/>
      <c r="K612" s="2"/>
    </row>
    <row r="613" spans="9:11" ht="14.5" x14ac:dyDescent="0.35">
      <c r="I613" s="2"/>
      <c r="K613" s="2"/>
    </row>
    <row r="614" spans="9:11" ht="14.5" x14ac:dyDescent="0.35">
      <c r="I614" s="2"/>
      <c r="K614" s="2"/>
    </row>
    <row r="615" spans="9:11" ht="14.5" x14ac:dyDescent="0.35">
      <c r="I615" s="2"/>
      <c r="K615" s="2"/>
    </row>
    <row r="616" spans="9:11" ht="14.5" x14ac:dyDescent="0.35">
      <c r="I616" s="2"/>
      <c r="K616" s="2"/>
    </row>
    <row r="617" spans="9:11" ht="14.5" x14ac:dyDescent="0.35">
      <c r="I617" s="2"/>
      <c r="K617" s="2"/>
    </row>
    <row r="618" spans="9:11" ht="14.5" x14ac:dyDescent="0.35">
      <c r="I618" s="2"/>
      <c r="K618" s="2"/>
    </row>
    <row r="619" spans="9:11" ht="14.5" x14ac:dyDescent="0.35">
      <c r="I619" s="2"/>
      <c r="K619" s="2"/>
    </row>
    <row r="620" spans="9:11" ht="14.5" x14ac:dyDescent="0.35">
      <c r="I620" s="2"/>
      <c r="K620" s="2"/>
    </row>
    <row r="621" spans="9:11" ht="14.5" x14ac:dyDescent="0.35">
      <c r="I621" s="2"/>
      <c r="K621" s="2"/>
    </row>
    <row r="622" spans="9:11" ht="14.5" x14ac:dyDescent="0.35">
      <c r="I622" s="2"/>
      <c r="K622" s="2"/>
    </row>
    <row r="623" spans="9:11" ht="14.5" x14ac:dyDescent="0.35">
      <c r="I623" s="2"/>
      <c r="K623" s="2"/>
    </row>
    <row r="624" spans="9:11" ht="14.5" x14ac:dyDescent="0.35">
      <c r="I624" s="2"/>
      <c r="K624" s="2"/>
    </row>
    <row r="625" spans="9:11" ht="14.5" x14ac:dyDescent="0.35">
      <c r="I625" s="2"/>
      <c r="K625" s="2"/>
    </row>
    <row r="626" spans="9:11" ht="14.5" x14ac:dyDescent="0.35">
      <c r="I626" s="2"/>
      <c r="K626" s="2"/>
    </row>
    <row r="627" spans="9:11" ht="14.5" x14ac:dyDescent="0.35">
      <c r="I627" s="2"/>
      <c r="K627" s="2"/>
    </row>
    <row r="628" spans="9:11" ht="14.5" x14ac:dyDescent="0.35">
      <c r="I628" s="2"/>
      <c r="K628" s="2"/>
    </row>
    <row r="629" spans="9:11" ht="14.5" x14ac:dyDescent="0.35">
      <c r="I629" s="2"/>
      <c r="K629" s="2"/>
    </row>
    <row r="630" spans="9:11" ht="14.5" x14ac:dyDescent="0.35">
      <c r="I630" s="2"/>
      <c r="K630" s="2"/>
    </row>
    <row r="631" spans="9:11" ht="14.5" x14ac:dyDescent="0.35">
      <c r="I631" s="2"/>
      <c r="K631" s="2"/>
    </row>
    <row r="632" spans="9:11" ht="14.5" x14ac:dyDescent="0.35">
      <c r="I632" s="2"/>
      <c r="K632" s="2"/>
    </row>
    <row r="633" spans="9:11" ht="14.5" x14ac:dyDescent="0.35">
      <c r="I633" s="2"/>
      <c r="K633" s="2"/>
    </row>
    <row r="634" spans="9:11" ht="14.5" x14ac:dyDescent="0.35">
      <c r="I634" s="2"/>
      <c r="K634" s="2"/>
    </row>
    <row r="635" spans="9:11" ht="14.5" x14ac:dyDescent="0.35">
      <c r="I635" s="2"/>
      <c r="K635" s="2"/>
    </row>
    <row r="636" spans="9:11" ht="14.5" x14ac:dyDescent="0.35">
      <c r="I636" s="2"/>
      <c r="K636" s="2"/>
    </row>
    <row r="637" spans="9:11" ht="14.5" x14ac:dyDescent="0.35">
      <c r="I637" s="2"/>
      <c r="K637" s="2"/>
    </row>
    <row r="638" spans="9:11" ht="14.5" x14ac:dyDescent="0.35">
      <c r="I638" s="2"/>
      <c r="K638" s="2"/>
    </row>
    <row r="639" spans="9:11" ht="14.5" x14ac:dyDescent="0.35">
      <c r="I639" s="2"/>
      <c r="K639" s="2"/>
    </row>
    <row r="640" spans="9:11" ht="14.5" x14ac:dyDescent="0.35">
      <c r="I640" s="2"/>
      <c r="K640" s="2"/>
    </row>
    <row r="641" spans="9:11" ht="14.5" x14ac:dyDescent="0.35">
      <c r="I641" s="2"/>
      <c r="K641" s="2"/>
    </row>
    <row r="642" spans="9:11" ht="14.5" x14ac:dyDescent="0.35">
      <c r="I642" s="2"/>
      <c r="K642" s="2"/>
    </row>
    <row r="643" spans="9:11" ht="14.5" x14ac:dyDescent="0.35">
      <c r="I643" s="2"/>
      <c r="K643" s="2"/>
    </row>
    <row r="644" spans="9:11" ht="14.5" x14ac:dyDescent="0.35">
      <c r="I644" s="2"/>
      <c r="K644" s="2"/>
    </row>
    <row r="645" spans="9:11" ht="14.5" x14ac:dyDescent="0.35">
      <c r="I645" s="2"/>
      <c r="K645" s="2"/>
    </row>
    <row r="646" spans="9:11" ht="14.5" x14ac:dyDescent="0.35">
      <c r="I646" s="2"/>
      <c r="K646" s="2"/>
    </row>
    <row r="647" spans="9:11" ht="14.5" x14ac:dyDescent="0.35">
      <c r="I647" s="2"/>
      <c r="K647" s="2"/>
    </row>
    <row r="648" spans="9:11" ht="14.5" x14ac:dyDescent="0.35">
      <c r="I648" s="2"/>
      <c r="K648" s="2"/>
    </row>
    <row r="649" spans="9:11" ht="14.5" x14ac:dyDescent="0.35">
      <c r="I649" s="2"/>
      <c r="K649" s="2"/>
    </row>
    <row r="650" spans="9:11" ht="14.5" x14ac:dyDescent="0.35">
      <c r="I650" s="2"/>
      <c r="K650" s="2"/>
    </row>
    <row r="651" spans="9:11" ht="14.5" x14ac:dyDescent="0.35">
      <c r="I651" s="2"/>
      <c r="K651" s="2"/>
    </row>
    <row r="652" spans="9:11" ht="14.5" x14ac:dyDescent="0.35">
      <c r="I652" s="2"/>
      <c r="K652" s="2"/>
    </row>
    <row r="653" spans="9:11" ht="14.5" x14ac:dyDescent="0.35">
      <c r="I653" s="2"/>
      <c r="K653" s="2"/>
    </row>
    <row r="654" spans="9:11" ht="14.5" x14ac:dyDescent="0.35">
      <c r="I654" s="2"/>
      <c r="K654" s="2"/>
    </row>
    <row r="655" spans="9:11" ht="14.5" x14ac:dyDescent="0.35">
      <c r="I655" s="2"/>
      <c r="K655" s="2"/>
    </row>
    <row r="656" spans="9:11" ht="14.5" x14ac:dyDescent="0.35">
      <c r="I656" s="2"/>
      <c r="K656" s="2"/>
    </row>
    <row r="657" spans="9:11" ht="14.5" x14ac:dyDescent="0.35">
      <c r="I657" s="2"/>
      <c r="K657" s="2"/>
    </row>
    <row r="658" spans="9:11" ht="14.5" x14ac:dyDescent="0.35">
      <c r="I658" s="2"/>
      <c r="K658" s="2"/>
    </row>
    <row r="659" spans="9:11" ht="14.5" x14ac:dyDescent="0.35">
      <c r="I659" s="2"/>
      <c r="K659" s="2"/>
    </row>
    <row r="660" spans="9:11" ht="14.5" x14ac:dyDescent="0.35">
      <c r="I660" s="2"/>
      <c r="K660" s="2"/>
    </row>
    <row r="661" spans="9:11" ht="14.5" x14ac:dyDescent="0.35">
      <c r="I661" s="2"/>
      <c r="K661" s="2"/>
    </row>
    <row r="662" spans="9:11" ht="14.5" x14ac:dyDescent="0.35">
      <c r="I662" s="2"/>
      <c r="K662" s="2"/>
    </row>
    <row r="663" spans="9:11" ht="14.5" x14ac:dyDescent="0.35">
      <c r="I663" s="2"/>
      <c r="K663" s="2"/>
    </row>
    <row r="664" spans="9:11" ht="14.5" x14ac:dyDescent="0.35">
      <c r="I664" s="2"/>
      <c r="K664" s="2"/>
    </row>
    <row r="665" spans="9:11" ht="14.5" x14ac:dyDescent="0.35">
      <c r="I665" s="2"/>
      <c r="K665" s="2"/>
    </row>
    <row r="666" spans="9:11" ht="14.5" x14ac:dyDescent="0.35">
      <c r="I666" s="2"/>
      <c r="K666" s="2"/>
    </row>
    <row r="667" spans="9:11" ht="14.5" x14ac:dyDescent="0.35">
      <c r="I667" s="2"/>
      <c r="K667" s="2"/>
    </row>
    <row r="668" spans="9:11" ht="14.5" x14ac:dyDescent="0.35">
      <c r="I668" s="2"/>
      <c r="K668" s="2"/>
    </row>
    <row r="669" spans="9:11" ht="14.5" x14ac:dyDescent="0.35">
      <c r="I669" s="2"/>
      <c r="K669" s="2"/>
    </row>
    <row r="670" spans="9:11" ht="14.5" x14ac:dyDescent="0.35">
      <c r="I670" s="2"/>
      <c r="K670" s="2"/>
    </row>
    <row r="671" spans="9:11" ht="14.5" x14ac:dyDescent="0.35">
      <c r="I671" s="2"/>
      <c r="K671" s="2"/>
    </row>
    <row r="672" spans="9:11" ht="14.5" x14ac:dyDescent="0.35">
      <c r="I672" s="2"/>
      <c r="K672" s="2"/>
    </row>
    <row r="673" spans="9:11" ht="14.5" x14ac:dyDescent="0.35">
      <c r="I673" s="2"/>
      <c r="K673" s="2"/>
    </row>
    <row r="674" spans="9:11" ht="14.5" x14ac:dyDescent="0.35">
      <c r="I674" s="2"/>
      <c r="K674" s="2"/>
    </row>
    <row r="675" spans="9:11" ht="14.5" x14ac:dyDescent="0.35">
      <c r="I675" s="2"/>
      <c r="K675" s="2"/>
    </row>
    <row r="676" spans="9:11" ht="14.5" x14ac:dyDescent="0.35">
      <c r="I676" s="2"/>
      <c r="K676" s="2"/>
    </row>
    <row r="677" spans="9:11" ht="14.5" x14ac:dyDescent="0.35">
      <c r="I677" s="2"/>
      <c r="K677" s="2"/>
    </row>
    <row r="678" spans="9:11" ht="14.5" x14ac:dyDescent="0.35">
      <c r="I678" s="2"/>
      <c r="K678" s="2"/>
    </row>
    <row r="679" spans="9:11" ht="14.5" x14ac:dyDescent="0.35">
      <c r="I679" s="2"/>
      <c r="K679" s="2"/>
    </row>
    <row r="680" spans="9:11" ht="14.5" x14ac:dyDescent="0.35">
      <c r="I680" s="2"/>
      <c r="K680" s="2"/>
    </row>
    <row r="681" spans="9:11" ht="14.5" x14ac:dyDescent="0.35">
      <c r="I681" s="2"/>
      <c r="K681" s="2"/>
    </row>
    <row r="682" spans="9:11" ht="14.5" x14ac:dyDescent="0.35">
      <c r="I682" s="2"/>
      <c r="K682" s="2"/>
    </row>
    <row r="683" spans="9:11" ht="14.5" x14ac:dyDescent="0.35">
      <c r="I683" s="2"/>
      <c r="K683" s="2"/>
    </row>
    <row r="684" spans="9:11" ht="14.5" x14ac:dyDescent="0.35">
      <c r="I684" s="2"/>
      <c r="K684" s="2"/>
    </row>
    <row r="685" spans="9:11" ht="14.5" x14ac:dyDescent="0.35">
      <c r="I685" s="2"/>
      <c r="K685" s="2"/>
    </row>
    <row r="686" spans="9:11" ht="14.5" x14ac:dyDescent="0.35">
      <c r="I686" s="2"/>
      <c r="K686" s="2"/>
    </row>
    <row r="687" spans="9:11" ht="14.5" x14ac:dyDescent="0.35">
      <c r="I687" s="2"/>
      <c r="K687" s="2"/>
    </row>
    <row r="688" spans="9:11" ht="14.5" x14ac:dyDescent="0.35">
      <c r="I688" s="2"/>
      <c r="K688" s="2"/>
    </row>
    <row r="689" spans="9:11" ht="14.5" x14ac:dyDescent="0.35">
      <c r="I689" s="2"/>
      <c r="K689" s="2"/>
    </row>
    <row r="690" spans="9:11" ht="14.5" x14ac:dyDescent="0.35">
      <c r="I690" s="2"/>
      <c r="K690" s="2"/>
    </row>
    <row r="691" spans="9:11" ht="14.5" x14ac:dyDescent="0.35">
      <c r="I691" s="2"/>
      <c r="K691" s="2"/>
    </row>
    <row r="692" spans="9:11" ht="14.5" x14ac:dyDescent="0.35">
      <c r="I692" s="2"/>
      <c r="K692" s="2"/>
    </row>
    <row r="693" spans="9:11" ht="14.5" x14ac:dyDescent="0.35">
      <c r="I693" s="2"/>
      <c r="K693" s="2"/>
    </row>
    <row r="694" spans="9:11" ht="14.5" x14ac:dyDescent="0.35">
      <c r="I694" s="2"/>
      <c r="K694" s="2"/>
    </row>
    <row r="695" spans="9:11" ht="14.5" x14ac:dyDescent="0.35">
      <c r="I695" s="2"/>
      <c r="K695" s="2"/>
    </row>
    <row r="696" spans="9:11" ht="14.5" x14ac:dyDescent="0.35">
      <c r="I696" s="2"/>
      <c r="K696" s="2"/>
    </row>
    <row r="697" spans="9:11" ht="14.5" x14ac:dyDescent="0.35">
      <c r="I697" s="2"/>
      <c r="K697" s="2"/>
    </row>
    <row r="698" spans="9:11" ht="14.5" x14ac:dyDescent="0.35">
      <c r="I698" s="2"/>
      <c r="K698" s="2"/>
    </row>
    <row r="699" spans="9:11" ht="14.5" x14ac:dyDescent="0.35">
      <c r="I699" s="2"/>
      <c r="K699" s="2"/>
    </row>
    <row r="700" spans="9:11" ht="14.5" x14ac:dyDescent="0.35">
      <c r="I700" s="2"/>
      <c r="K700" s="2"/>
    </row>
    <row r="701" spans="9:11" ht="14.5" x14ac:dyDescent="0.35">
      <c r="I701" s="2"/>
      <c r="K701" s="2"/>
    </row>
    <row r="702" spans="9:11" ht="14.5" x14ac:dyDescent="0.35">
      <c r="I702" s="2"/>
      <c r="K702" s="2"/>
    </row>
    <row r="703" spans="9:11" ht="14.5" x14ac:dyDescent="0.35">
      <c r="I703" s="2"/>
      <c r="K703" s="2"/>
    </row>
    <row r="704" spans="9:11" ht="14.5" x14ac:dyDescent="0.35">
      <c r="I704" s="2"/>
      <c r="K704" s="2"/>
    </row>
    <row r="705" spans="9:11" ht="14.5" x14ac:dyDescent="0.35">
      <c r="I705" s="2"/>
      <c r="K705" s="2"/>
    </row>
    <row r="706" spans="9:11" ht="14.5" x14ac:dyDescent="0.35">
      <c r="I706" s="2"/>
      <c r="K706" s="2"/>
    </row>
    <row r="707" spans="9:11" ht="14.5" x14ac:dyDescent="0.35">
      <c r="I707" s="2"/>
      <c r="K707" s="2"/>
    </row>
    <row r="708" spans="9:11" ht="14.5" x14ac:dyDescent="0.35">
      <c r="I708" s="2"/>
      <c r="K708" s="2"/>
    </row>
    <row r="709" spans="9:11" ht="14.5" x14ac:dyDescent="0.35">
      <c r="I709" s="2"/>
      <c r="K709" s="2"/>
    </row>
    <row r="710" spans="9:11" ht="14.5" x14ac:dyDescent="0.35">
      <c r="I710" s="2"/>
      <c r="K710" s="2"/>
    </row>
    <row r="711" spans="9:11" ht="14.5" x14ac:dyDescent="0.35">
      <c r="I711" s="2"/>
      <c r="K711" s="2"/>
    </row>
    <row r="712" spans="9:11" ht="14.5" x14ac:dyDescent="0.35">
      <c r="I712" s="2"/>
      <c r="K712" s="2"/>
    </row>
    <row r="713" spans="9:11" ht="14.5" x14ac:dyDescent="0.35">
      <c r="I713" s="2"/>
      <c r="K713" s="2"/>
    </row>
    <row r="714" spans="9:11" ht="14.5" x14ac:dyDescent="0.35">
      <c r="I714" s="2"/>
      <c r="K714" s="2"/>
    </row>
    <row r="715" spans="9:11" ht="14.5" x14ac:dyDescent="0.35">
      <c r="I715" s="2"/>
      <c r="K715" s="2"/>
    </row>
    <row r="716" spans="9:11" ht="14.5" x14ac:dyDescent="0.35">
      <c r="I716" s="2"/>
      <c r="K716" s="2"/>
    </row>
    <row r="717" spans="9:11" ht="14.5" x14ac:dyDescent="0.35">
      <c r="I717" s="2"/>
      <c r="K717" s="2"/>
    </row>
    <row r="718" spans="9:11" ht="14.5" x14ac:dyDescent="0.35">
      <c r="I718" s="2"/>
      <c r="K718" s="2"/>
    </row>
    <row r="719" spans="9:11" ht="14.5" x14ac:dyDescent="0.35">
      <c r="I719" s="2"/>
      <c r="K719" s="2"/>
    </row>
    <row r="720" spans="9:11" ht="14.5" x14ac:dyDescent="0.35">
      <c r="I720" s="2"/>
      <c r="K720" s="2"/>
    </row>
    <row r="721" spans="9:11" ht="14.5" x14ac:dyDescent="0.35">
      <c r="I721" s="2"/>
      <c r="K721" s="2"/>
    </row>
    <row r="722" spans="9:11" ht="14.5" x14ac:dyDescent="0.35">
      <c r="I722" s="2"/>
      <c r="K722" s="2"/>
    </row>
    <row r="723" spans="9:11" ht="14.5" x14ac:dyDescent="0.35">
      <c r="I723" s="2"/>
      <c r="K723" s="2"/>
    </row>
    <row r="724" spans="9:11" ht="14.5" x14ac:dyDescent="0.35">
      <c r="I724" s="2"/>
      <c r="K724" s="2"/>
    </row>
    <row r="725" spans="9:11" ht="14.5" x14ac:dyDescent="0.35">
      <c r="I725" s="2"/>
      <c r="K725" s="2"/>
    </row>
    <row r="726" spans="9:11" ht="14.5" x14ac:dyDescent="0.35">
      <c r="I726" s="2"/>
      <c r="K726" s="2"/>
    </row>
    <row r="727" spans="9:11" ht="14.5" x14ac:dyDescent="0.35">
      <c r="I727" s="2"/>
      <c r="K727" s="2"/>
    </row>
    <row r="728" spans="9:11" ht="14.5" x14ac:dyDescent="0.35">
      <c r="I728" s="2"/>
      <c r="K728" s="2"/>
    </row>
    <row r="729" spans="9:11" ht="14.5" x14ac:dyDescent="0.35">
      <c r="I729" s="2"/>
      <c r="K729" s="2"/>
    </row>
    <row r="730" spans="9:11" ht="14.5" x14ac:dyDescent="0.35">
      <c r="I730" s="2"/>
      <c r="K730" s="2"/>
    </row>
    <row r="731" spans="9:11" ht="14.5" x14ac:dyDescent="0.35">
      <c r="I731" s="2"/>
      <c r="K731" s="2"/>
    </row>
    <row r="732" spans="9:11" ht="14.5" x14ac:dyDescent="0.35">
      <c r="I732" s="2"/>
      <c r="K732" s="2"/>
    </row>
    <row r="733" spans="9:11" ht="14.5" x14ac:dyDescent="0.35">
      <c r="I733" s="2"/>
      <c r="K733" s="2"/>
    </row>
    <row r="734" spans="9:11" ht="14.5" x14ac:dyDescent="0.35">
      <c r="I734" s="2"/>
      <c r="K734" s="2"/>
    </row>
    <row r="735" spans="9:11" ht="14.5" x14ac:dyDescent="0.35">
      <c r="I735" s="2"/>
      <c r="K735" s="2"/>
    </row>
    <row r="736" spans="9:11" ht="14.5" x14ac:dyDescent="0.35">
      <c r="I736" s="2"/>
      <c r="K736" s="2"/>
    </row>
    <row r="737" spans="9:11" ht="14.5" x14ac:dyDescent="0.35">
      <c r="I737" s="2"/>
      <c r="K737" s="2"/>
    </row>
    <row r="738" spans="9:11" ht="14.5" x14ac:dyDescent="0.35">
      <c r="I738" s="2"/>
      <c r="K738" s="2"/>
    </row>
    <row r="739" spans="9:11" ht="14.5" x14ac:dyDescent="0.35">
      <c r="I739" s="2"/>
      <c r="K739" s="2"/>
    </row>
    <row r="740" spans="9:11" ht="14.5" x14ac:dyDescent="0.35">
      <c r="I740" s="2"/>
      <c r="K740" s="2"/>
    </row>
    <row r="741" spans="9:11" ht="14.5" x14ac:dyDescent="0.35">
      <c r="I741" s="2"/>
      <c r="K741" s="2"/>
    </row>
    <row r="742" spans="9:11" ht="14.5" x14ac:dyDescent="0.35">
      <c r="I742" s="2"/>
      <c r="K742" s="2"/>
    </row>
    <row r="743" spans="9:11" ht="14.5" x14ac:dyDescent="0.35">
      <c r="I743" s="2"/>
      <c r="K743" s="2"/>
    </row>
    <row r="744" spans="9:11" ht="14.5" x14ac:dyDescent="0.35">
      <c r="I744" s="2"/>
      <c r="K744" s="2"/>
    </row>
    <row r="745" spans="9:11" ht="14.5" x14ac:dyDescent="0.35">
      <c r="I745" s="2"/>
      <c r="K745" s="2"/>
    </row>
    <row r="746" spans="9:11" ht="14.5" x14ac:dyDescent="0.35">
      <c r="I746" s="2"/>
      <c r="K746" s="2"/>
    </row>
    <row r="747" spans="9:11" ht="14.5" x14ac:dyDescent="0.35">
      <c r="I747" s="2"/>
      <c r="K747" s="2"/>
    </row>
    <row r="748" spans="9:11" ht="14.5" x14ac:dyDescent="0.35">
      <c r="I748" s="2"/>
      <c r="K748" s="2"/>
    </row>
    <row r="749" spans="9:11" ht="14.5" x14ac:dyDescent="0.35">
      <c r="I749" s="2"/>
      <c r="K749" s="2"/>
    </row>
    <row r="750" spans="9:11" ht="14.5" x14ac:dyDescent="0.35">
      <c r="I750" s="2"/>
      <c r="K750" s="2"/>
    </row>
    <row r="751" spans="9:11" ht="14.5" x14ac:dyDescent="0.35">
      <c r="I751" s="2"/>
      <c r="K751" s="2"/>
    </row>
    <row r="752" spans="9:11" ht="14.5" x14ac:dyDescent="0.35">
      <c r="I752" s="2"/>
      <c r="K752" s="2"/>
    </row>
    <row r="753" spans="9:11" ht="14.5" x14ac:dyDescent="0.35">
      <c r="I753" s="2"/>
      <c r="K753" s="2"/>
    </row>
    <row r="754" spans="9:11" ht="14.5" x14ac:dyDescent="0.35">
      <c r="I754" s="2"/>
      <c r="K754" s="2"/>
    </row>
    <row r="755" spans="9:11" ht="14.5" x14ac:dyDescent="0.35">
      <c r="I755" s="2"/>
      <c r="K755" s="2"/>
    </row>
    <row r="756" spans="9:11" ht="14.5" x14ac:dyDescent="0.35">
      <c r="I756" s="2"/>
      <c r="K756" s="2"/>
    </row>
    <row r="757" spans="9:11" ht="14.5" x14ac:dyDescent="0.35">
      <c r="I757" s="2"/>
      <c r="K757" s="2"/>
    </row>
    <row r="758" spans="9:11" ht="14.5" x14ac:dyDescent="0.35">
      <c r="I758" s="2"/>
      <c r="K758" s="2"/>
    </row>
    <row r="759" spans="9:11" ht="14.5" x14ac:dyDescent="0.35">
      <c r="I759" s="2"/>
      <c r="K759" s="2"/>
    </row>
    <row r="760" spans="9:11" ht="14.5" x14ac:dyDescent="0.35">
      <c r="I760" s="2"/>
      <c r="K760" s="2"/>
    </row>
    <row r="761" spans="9:11" ht="14.5" x14ac:dyDescent="0.35">
      <c r="I761" s="2"/>
      <c r="K761" s="2"/>
    </row>
    <row r="762" spans="9:11" ht="14.5" x14ac:dyDescent="0.35">
      <c r="I762" s="2"/>
      <c r="K762" s="2"/>
    </row>
    <row r="763" spans="9:11" ht="14.5" x14ac:dyDescent="0.35">
      <c r="I763" s="2"/>
      <c r="K763" s="2"/>
    </row>
    <row r="764" spans="9:11" ht="14.5" x14ac:dyDescent="0.35">
      <c r="I764" s="2"/>
      <c r="K764" s="2"/>
    </row>
    <row r="765" spans="9:11" ht="14.5" x14ac:dyDescent="0.35">
      <c r="I765" s="2"/>
      <c r="K765" s="2"/>
    </row>
    <row r="766" spans="9:11" ht="14.5" x14ac:dyDescent="0.35">
      <c r="I766" s="2"/>
      <c r="K766" s="2"/>
    </row>
    <row r="767" spans="9:11" ht="14.5" x14ac:dyDescent="0.35">
      <c r="I767" s="2"/>
      <c r="K767" s="2"/>
    </row>
    <row r="768" spans="9:11" ht="14.5" x14ac:dyDescent="0.35">
      <c r="I768" s="2"/>
      <c r="K768" s="2"/>
    </row>
    <row r="769" spans="9:11" ht="14.5" x14ac:dyDescent="0.35">
      <c r="I769" s="2"/>
      <c r="K769" s="2"/>
    </row>
    <row r="770" spans="9:11" ht="14.5" x14ac:dyDescent="0.35">
      <c r="I770" s="2"/>
      <c r="K770" s="2"/>
    </row>
    <row r="771" spans="9:11" ht="14.5" x14ac:dyDescent="0.35">
      <c r="I771" s="2"/>
      <c r="K771" s="2"/>
    </row>
    <row r="772" spans="9:11" ht="14.5" x14ac:dyDescent="0.35">
      <c r="I772" s="2"/>
      <c r="K772" s="2"/>
    </row>
    <row r="773" spans="9:11" ht="14.5" x14ac:dyDescent="0.35">
      <c r="I773" s="2"/>
      <c r="K773" s="2"/>
    </row>
    <row r="774" spans="9:11" ht="14.5" x14ac:dyDescent="0.35">
      <c r="I774" s="2"/>
      <c r="K774" s="2"/>
    </row>
    <row r="775" spans="9:11" ht="14.5" x14ac:dyDescent="0.35">
      <c r="I775" s="2"/>
      <c r="K775" s="2"/>
    </row>
    <row r="776" spans="9:11" ht="14.5" x14ac:dyDescent="0.35">
      <c r="I776" s="2"/>
      <c r="K776" s="2"/>
    </row>
    <row r="777" spans="9:11" ht="14.5" x14ac:dyDescent="0.35">
      <c r="I777" s="2"/>
      <c r="K777" s="2"/>
    </row>
    <row r="778" spans="9:11" ht="14.5" x14ac:dyDescent="0.35">
      <c r="I778" s="2"/>
      <c r="K778" s="2"/>
    </row>
    <row r="779" spans="9:11" ht="14.5" x14ac:dyDescent="0.35">
      <c r="I779" s="2"/>
      <c r="K779" s="2"/>
    </row>
    <row r="780" spans="9:11" ht="14.5" x14ac:dyDescent="0.35">
      <c r="I780" s="2"/>
      <c r="K780" s="2"/>
    </row>
    <row r="781" spans="9:11" ht="14.5" x14ac:dyDescent="0.35">
      <c r="I781" s="2"/>
      <c r="K781" s="2"/>
    </row>
    <row r="782" spans="9:11" ht="14.5" x14ac:dyDescent="0.35">
      <c r="I782" s="2"/>
      <c r="K782" s="2"/>
    </row>
    <row r="783" spans="9:11" ht="14.5" x14ac:dyDescent="0.35">
      <c r="I783" s="2"/>
      <c r="K783" s="2"/>
    </row>
    <row r="784" spans="9:11" ht="14.5" x14ac:dyDescent="0.35">
      <c r="I784" s="2"/>
      <c r="K784" s="2"/>
    </row>
    <row r="785" spans="9:11" ht="14.5" x14ac:dyDescent="0.35">
      <c r="I785" s="2"/>
      <c r="K785" s="2"/>
    </row>
    <row r="786" spans="9:11" ht="14.5" x14ac:dyDescent="0.35">
      <c r="I786" s="2"/>
      <c r="K786" s="2"/>
    </row>
    <row r="787" spans="9:11" ht="14.5" x14ac:dyDescent="0.35">
      <c r="I787" s="2"/>
      <c r="K787" s="2"/>
    </row>
    <row r="788" spans="9:11" ht="14.5" x14ac:dyDescent="0.35">
      <c r="I788" s="2"/>
      <c r="K788" s="2"/>
    </row>
    <row r="789" spans="9:11" ht="14.5" x14ac:dyDescent="0.35">
      <c r="I789" s="2"/>
      <c r="K789" s="2"/>
    </row>
    <row r="790" spans="9:11" ht="14.5" x14ac:dyDescent="0.35">
      <c r="I790" s="2"/>
      <c r="K790" s="2"/>
    </row>
    <row r="791" spans="9:11" ht="14.5" x14ac:dyDescent="0.35">
      <c r="I791" s="2"/>
      <c r="K791" s="2"/>
    </row>
    <row r="792" spans="9:11" ht="14.5" x14ac:dyDescent="0.35">
      <c r="I792" s="2"/>
      <c r="K792" s="2"/>
    </row>
    <row r="793" spans="9:11" ht="14.5" x14ac:dyDescent="0.35">
      <c r="I793" s="2"/>
      <c r="K793" s="2"/>
    </row>
    <row r="794" spans="9:11" ht="14.5" x14ac:dyDescent="0.35">
      <c r="I794" s="2"/>
      <c r="K794" s="2"/>
    </row>
    <row r="795" spans="9:11" ht="14.5" x14ac:dyDescent="0.35">
      <c r="I795" s="2"/>
      <c r="K795" s="2"/>
    </row>
    <row r="796" spans="9:11" ht="14.5" x14ac:dyDescent="0.35">
      <c r="I796" s="2"/>
      <c r="K796" s="2"/>
    </row>
    <row r="797" spans="9:11" ht="14.5" x14ac:dyDescent="0.35">
      <c r="I797" s="2"/>
      <c r="K797" s="2"/>
    </row>
    <row r="798" spans="9:11" ht="14.5" x14ac:dyDescent="0.35">
      <c r="I798" s="2"/>
      <c r="K798" s="2"/>
    </row>
    <row r="799" spans="9:11" ht="14.5" x14ac:dyDescent="0.35">
      <c r="I799" s="2"/>
      <c r="K799" s="2"/>
    </row>
    <row r="800" spans="9:11" ht="14.5" x14ac:dyDescent="0.35">
      <c r="I800" s="2"/>
      <c r="K800" s="2"/>
    </row>
    <row r="801" spans="9:11" ht="14.5" x14ac:dyDescent="0.35">
      <c r="I801" s="2"/>
      <c r="K801" s="2"/>
    </row>
    <row r="802" spans="9:11" ht="14.5" x14ac:dyDescent="0.35">
      <c r="I802" s="2"/>
      <c r="K802" s="2"/>
    </row>
    <row r="803" spans="9:11" ht="14.5" x14ac:dyDescent="0.35">
      <c r="I803" s="2"/>
      <c r="K803" s="2"/>
    </row>
    <row r="804" spans="9:11" ht="14.5" x14ac:dyDescent="0.35">
      <c r="I804" s="2"/>
      <c r="K804" s="2"/>
    </row>
    <row r="805" spans="9:11" ht="14.5" x14ac:dyDescent="0.35">
      <c r="I805" s="2"/>
      <c r="K805" s="2"/>
    </row>
    <row r="806" spans="9:11" ht="14.5" x14ac:dyDescent="0.35">
      <c r="I806" s="2"/>
      <c r="K806" s="2"/>
    </row>
    <row r="807" spans="9:11" ht="14.5" x14ac:dyDescent="0.35">
      <c r="I807" s="2"/>
      <c r="K807" s="2"/>
    </row>
    <row r="808" spans="9:11" ht="14.5" x14ac:dyDescent="0.35">
      <c r="I808" s="2"/>
      <c r="K808" s="2"/>
    </row>
    <row r="809" spans="9:11" ht="14.5" x14ac:dyDescent="0.35">
      <c r="I809" s="2"/>
      <c r="K809" s="2"/>
    </row>
    <row r="810" spans="9:11" ht="14.5" x14ac:dyDescent="0.35">
      <c r="I810" s="2"/>
      <c r="K810" s="2"/>
    </row>
    <row r="811" spans="9:11" ht="14.5" x14ac:dyDescent="0.35">
      <c r="I811" s="2"/>
      <c r="K811" s="2"/>
    </row>
    <row r="812" spans="9:11" ht="14.5" x14ac:dyDescent="0.35">
      <c r="I812" s="2"/>
      <c r="K812" s="2"/>
    </row>
    <row r="813" spans="9:11" ht="14.5" x14ac:dyDescent="0.35">
      <c r="I813" s="2"/>
      <c r="K813" s="2"/>
    </row>
    <row r="814" spans="9:11" ht="14.5" x14ac:dyDescent="0.35">
      <c r="I814" s="2"/>
      <c r="K814" s="2"/>
    </row>
    <row r="815" spans="9:11" ht="14.5" x14ac:dyDescent="0.35">
      <c r="I815" s="2"/>
      <c r="K815" s="2"/>
    </row>
    <row r="816" spans="9:11" ht="14.5" x14ac:dyDescent="0.35">
      <c r="I816" s="2"/>
      <c r="K816" s="2"/>
    </row>
    <row r="817" spans="9:11" ht="14.5" x14ac:dyDescent="0.35">
      <c r="I817" s="2"/>
      <c r="K817" s="2"/>
    </row>
    <row r="818" spans="9:11" ht="14.5" x14ac:dyDescent="0.35">
      <c r="I818" s="2"/>
      <c r="K818" s="2"/>
    </row>
    <row r="819" spans="9:11" ht="14.5" x14ac:dyDescent="0.35">
      <c r="I819" s="2"/>
      <c r="K819" s="2"/>
    </row>
    <row r="820" spans="9:11" ht="14.5" x14ac:dyDescent="0.35">
      <c r="I820" s="2"/>
      <c r="K820" s="2"/>
    </row>
    <row r="821" spans="9:11" ht="14.5" x14ac:dyDescent="0.35">
      <c r="I821" s="2"/>
      <c r="K821" s="2"/>
    </row>
    <row r="822" spans="9:11" ht="14.5" x14ac:dyDescent="0.35">
      <c r="I822" s="2"/>
      <c r="K822" s="2"/>
    </row>
    <row r="823" spans="9:11" ht="14.5" x14ac:dyDescent="0.35">
      <c r="I823" s="2"/>
      <c r="K823" s="2"/>
    </row>
    <row r="824" spans="9:11" ht="14.5" x14ac:dyDescent="0.35">
      <c r="I824" s="2"/>
      <c r="K824" s="2"/>
    </row>
    <row r="825" spans="9:11" ht="14.5" x14ac:dyDescent="0.35">
      <c r="I825" s="2"/>
      <c r="K825" s="2"/>
    </row>
    <row r="826" spans="9:11" ht="14.5" x14ac:dyDescent="0.35">
      <c r="I826" s="2"/>
      <c r="K826" s="2"/>
    </row>
    <row r="827" spans="9:11" ht="14.5" x14ac:dyDescent="0.35">
      <c r="I827" s="2"/>
      <c r="K827" s="2"/>
    </row>
    <row r="828" spans="9:11" ht="14.5" x14ac:dyDescent="0.35">
      <c r="I828" s="2"/>
      <c r="K828" s="2"/>
    </row>
    <row r="829" spans="9:11" ht="14.5" x14ac:dyDescent="0.35">
      <c r="I829" s="2"/>
      <c r="K829" s="2"/>
    </row>
    <row r="830" spans="9:11" ht="14.5" x14ac:dyDescent="0.35">
      <c r="I830" s="2"/>
      <c r="K830" s="2"/>
    </row>
    <row r="831" spans="9:11" ht="14.5" x14ac:dyDescent="0.35">
      <c r="I831" s="2"/>
      <c r="K831" s="2"/>
    </row>
    <row r="832" spans="9:11" ht="14.5" x14ac:dyDescent="0.35">
      <c r="I832" s="2"/>
      <c r="K832" s="2"/>
    </row>
    <row r="833" spans="9:11" ht="14.5" x14ac:dyDescent="0.35">
      <c r="I833" s="2"/>
      <c r="K833" s="2"/>
    </row>
    <row r="834" spans="9:11" ht="14.5" x14ac:dyDescent="0.35">
      <c r="I834" s="2"/>
      <c r="K834" s="2"/>
    </row>
    <row r="835" spans="9:11" ht="14.5" x14ac:dyDescent="0.35">
      <c r="I835" s="2"/>
      <c r="K835" s="2"/>
    </row>
    <row r="836" spans="9:11" ht="14.5" x14ac:dyDescent="0.35">
      <c r="I836" s="2"/>
      <c r="K836" s="2"/>
    </row>
    <row r="837" spans="9:11" ht="14.5" x14ac:dyDescent="0.35">
      <c r="I837" s="2"/>
      <c r="K837" s="2"/>
    </row>
    <row r="838" spans="9:11" ht="14.5" x14ac:dyDescent="0.35">
      <c r="I838" s="2"/>
      <c r="K838" s="2"/>
    </row>
    <row r="839" spans="9:11" ht="14.5" x14ac:dyDescent="0.35">
      <c r="I839" s="2"/>
      <c r="K839" s="2"/>
    </row>
    <row r="840" spans="9:11" ht="14.5" x14ac:dyDescent="0.35">
      <c r="I840" s="2"/>
      <c r="K840" s="2"/>
    </row>
    <row r="841" spans="9:11" ht="14.5" x14ac:dyDescent="0.35">
      <c r="I841" s="2"/>
      <c r="K841" s="2"/>
    </row>
    <row r="842" spans="9:11" ht="14.5" x14ac:dyDescent="0.35">
      <c r="I842" s="2"/>
      <c r="K842" s="2"/>
    </row>
    <row r="843" spans="9:11" ht="14.5" x14ac:dyDescent="0.35">
      <c r="I843" s="2"/>
      <c r="K843" s="2"/>
    </row>
    <row r="844" spans="9:11" ht="14.5" x14ac:dyDescent="0.35">
      <c r="I844" s="2"/>
      <c r="K844" s="2"/>
    </row>
    <row r="845" spans="9:11" ht="14.5" x14ac:dyDescent="0.35">
      <c r="I845" s="2"/>
      <c r="K845" s="2"/>
    </row>
    <row r="846" spans="9:11" ht="14.5" x14ac:dyDescent="0.35">
      <c r="I846" s="2"/>
      <c r="K846" s="2"/>
    </row>
    <row r="847" spans="9:11" ht="14.5" x14ac:dyDescent="0.35">
      <c r="I847" s="2"/>
      <c r="K847" s="2"/>
    </row>
    <row r="848" spans="9:11" ht="14.5" x14ac:dyDescent="0.35">
      <c r="I848" s="2"/>
      <c r="K848" s="2"/>
    </row>
    <row r="849" spans="9:11" ht="14.5" x14ac:dyDescent="0.35">
      <c r="I849" s="2"/>
      <c r="K849" s="2"/>
    </row>
    <row r="850" spans="9:11" ht="14.5" x14ac:dyDescent="0.35">
      <c r="I850" s="2"/>
      <c r="K850" s="2"/>
    </row>
    <row r="851" spans="9:11" ht="14.5" x14ac:dyDescent="0.35">
      <c r="I851" s="2"/>
      <c r="K851" s="2"/>
    </row>
    <row r="852" spans="9:11" ht="14.5" x14ac:dyDescent="0.35">
      <c r="I852" s="2"/>
      <c r="K852" s="2"/>
    </row>
    <row r="853" spans="9:11" ht="14.5" x14ac:dyDescent="0.35">
      <c r="I853" s="2"/>
      <c r="K853" s="2"/>
    </row>
    <row r="854" spans="9:11" ht="14.5" x14ac:dyDescent="0.35">
      <c r="I854" s="2"/>
      <c r="K854" s="2"/>
    </row>
    <row r="855" spans="9:11" ht="14.5" x14ac:dyDescent="0.35">
      <c r="I855" s="2"/>
      <c r="K855" s="2"/>
    </row>
    <row r="856" spans="9:11" ht="14.5" x14ac:dyDescent="0.35">
      <c r="I856" s="2"/>
      <c r="K856" s="2"/>
    </row>
    <row r="857" spans="9:11" ht="14.5" x14ac:dyDescent="0.35">
      <c r="I857" s="2"/>
      <c r="K857" s="2"/>
    </row>
    <row r="858" spans="9:11" ht="14.5" x14ac:dyDescent="0.35">
      <c r="I858" s="2"/>
      <c r="K858" s="2"/>
    </row>
    <row r="859" spans="9:11" ht="14.5" x14ac:dyDescent="0.35">
      <c r="I859" s="2"/>
      <c r="K859" s="2"/>
    </row>
    <row r="860" spans="9:11" ht="14.5" x14ac:dyDescent="0.35">
      <c r="I860" s="2"/>
      <c r="K860" s="2"/>
    </row>
    <row r="861" spans="9:11" ht="14.5" x14ac:dyDescent="0.35">
      <c r="I861" s="2"/>
      <c r="K861" s="2"/>
    </row>
    <row r="862" spans="9:11" ht="14.5" x14ac:dyDescent="0.35">
      <c r="I862" s="2"/>
      <c r="K862" s="2"/>
    </row>
    <row r="863" spans="9:11" ht="14.5" x14ac:dyDescent="0.35">
      <c r="I863" s="2"/>
      <c r="K863" s="2"/>
    </row>
    <row r="864" spans="9:11" ht="14.5" x14ac:dyDescent="0.35">
      <c r="I864" s="2"/>
      <c r="K864" s="2"/>
    </row>
    <row r="865" spans="9:11" ht="14.5" x14ac:dyDescent="0.35">
      <c r="I865" s="2"/>
      <c r="K865" s="2"/>
    </row>
    <row r="866" spans="9:11" ht="14.5" x14ac:dyDescent="0.35">
      <c r="I866" s="2"/>
      <c r="K866" s="2"/>
    </row>
    <row r="867" spans="9:11" ht="14.5" x14ac:dyDescent="0.35">
      <c r="I867" s="2"/>
      <c r="K867" s="2"/>
    </row>
    <row r="868" spans="9:11" ht="14.5" x14ac:dyDescent="0.35">
      <c r="I868" s="2"/>
      <c r="K868" s="2"/>
    </row>
    <row r="869" spans="9:11" ht="14.5" x14ac:dyDescent="0.35">
      <c r="I869" s="2"/>
      <c r="K869" s="2"/>
    </row>
    <row r="870" spans="9:11" ht="14.5" x14ac:dyDescent="0.35">
      <c r="I870" s="2"/>
      <c r="K870" s="2"/>
    </row>
    <row r="871" spans="9:11" ht="14.5" x14ac:dyDescent="0.35">
      <c r="I871" s="2"/>
      <c r="K871" s="2"/>
    </row>
    <row r="872" spans="9:11" ht="14.5" x14ac:dyDescent="0.35">
      <c r="I872" s="2"/>
      <c r="K872" s="2"/>
    </row>
    <row r="873" spans="9:11" ht="14.5" x14ac:dyDescent="0.35">
      <c r="I873" s="2"/>
      <c r="K873" s="2"/>
    </row>
    <row r="874" spans="9:11" ht="14.5" x14ac:dyDescent="0.35">
      <c r="I874" s="2"/>
      <c r="K874" s="2"/>
    </row>
    <row r="875" spans="9:11" ht="14.5" x14ac:dyDescent="0.35">
      <c r="I875" s="2"/>
      <c r="K875" s="2"/>
    </row>
    <row r="876" spans="9:11" ht="14.5" x14ac:dyDescent="0.35">
      <c r="I876" s="2"/>
      <c r="K876" s="2"/>
    </row>
    <row r="877" spans="9:11" ht="14.5" x14ac:dyDescent="0.35">
      <c r="I877" s="2"/>
      <c r="K877" s="2"/>
    </row>
    <row r="878" spans="9:11" ht="14.5" x14ac:dyDescent="0.35">
      <c r="I878" s="2"/>
      <c r="K878" s="2"/>
    </row>
    <row r="879" spans="9:11" ht="14.5" x14ac:dyDescent="0.35">
      <c r="I879" s="2"/>
      <c r="K879" s="2"/>
    </row>
    <row r="880" spans="9:11" ht="14.5" x14ac:dyDescent="0.35">
      <c r="I880" s="2"/>
      <c r="K880" s="2"/>
    </row>
    <row r="881" spans="9:11" ht="14.5" x14ac:dyDescent="0.35">
      <c r="I881" s="2"/>
      <c r="K881" s="2"/>
    </row>
    <row r="882" spans="9:11" ht="14.5" x14ac:dyDescent="0.35">
      <c r="I882" s="2"/>
      <c r="K882" s="2"/>
    </row>
    <row r="883" spans="9:11" ht="14.5" x14ac:dyDescent="0.35">
      <c r="I883" s="2"/>
      <c r="K883" s="2"/>
    </row>
    <row r="884" spans="9:11" ht="14.5" x14ac:dyDescent="0.35">
      <c r="I884" s="2"/>
      <c r="K884" s="2"/>
    </row>
    <row r="885" spans="9:11" ht="14.5" x14ac:dyDescent="0.35">
      <c r="I885" s="2"/>
      <c r="K885" s="2"/>
    </row>
    <row r="886" spans="9:11" ht="14.5" x14ac:dyDescent="0.35">
      <c r="I886" s="2"/>
      <c r="K886" s="2"/>
    </row>
    <row r="887" spans="9:11" ht="14.5" x14ac:dyDescent="0.35">
      <c r="I887" s="2"/>
      <c r="K887" s="2"/>
    </row>
    <row r="888" spans="9:11" ht="14.5" x14ac:dyDescent="0.35">
      <c r="I888" s="2"/>
      <c r="K888" s="2"/>
    </row>
    <row r="889" spans="9:11" ht="14.5" x14ac:dyDescent="0.35">
      <c r="I889" s="2"/>
      <c r="K889" s="2"/>
    </row>
    <row r="890" spans="9:11" ht="14.5" x14ac:dyDescent="0.35">
      <c r="I890" s="2"/>
      <c r="K890" s="2"/>
    </row>
    <row r="891" spans="9:11" ht="14.5" x14ac:dyDescent="0.35">
      <c r="I891" s="2"/>
      <c r="K891" s="2"/>
    </row>
    <row r="892" spans="9:11" ht="14.5" x14ac:dyDescent="0.35">
      <c r="I892" s="2"/>
      <c r="K892" s="2"/>
    </row>
    <row r="893" spans="9:11" ht="14.5" x14ac:dyDescent="0.35">
      <c r="I893" s="2"/>
      <c r="K893" s="2"/>
    </row>
    <row r="894" spans="9:11" ht="14.5" x14ac:dyDescent="0.35">
      <c r="I894" s="2"/>
      <c r="K894" s="2"/>
    </row>
    <row r="895" spans="9:11" ht="14.5" x14ac:dyDescent="0.35">
      <c r="I895" s="2"/>
      <c r="K895" s="2"/>
    </row>
    <row r="896" spans="9:11" ht="14.5" x14ac:dyDescent="0.35">
      <c r="I896" s="2"/>
      <c r="K896" s="2"/>
    </row>
    <row r="897" spans="9:11" ht="14.5" x14ac:dyDescent="0.35">
      <c r="I897" s="2"/>
      <c r="K897" s="2"/>
    </row>
    <row r="898" spans="9:11" ht="14.5" x14ac:dyDescent="0.35">
      <c r="I898" s="2"/>
      <c r="K898" s="2"/>
    </row>
    <row r="899" spans="9:11" ht="14.5" x14ac:dyDescent="0.35">
      <c r="I899" s="2"/>
      <c r="K899" s="2"/>
    </row>
    <row r="900" spans="9:11" ht="14.5" x14ac:dyDescent="0.35">
      <c r="I900" s="2"/>
      <c r="K900" s="2"/>
    </row>
    <row r="901" spans="9:11" ht="14.5" x14ac:dyDescent="0.35">
      <c r="I901" s="2"/>
      <c r="K901" s="2"/>
    </row>
    <row r="902" spans="9:11" ht="14.5" x14ac:dyDescent="0.35">
      <c r="I902" s="2"/>
      <c r="K902" s="2"/>
    </row>
    <row r="903" spans="9:11" ht="14.5" x14ac:dyDescent="0.35">
      <c r="I903" s="2"/>
      <c r="K903" s="2"/>
    </row>
    <row r="904" spans="9:11" ht="14.5" x14ac:dyDescent="0.35">
      <c r="I904" s="2"/>
      <c r="K904" s="2"/>
    </row>
    <row r="905" spans="9:11" ht="14.5" x14ac:dyDescent="0.35">
      <c r="I905" s="2"/>
      <c r="K905" s="2"/>
    </row>
    <row r="906" spans="9:11" ht="14.5" x14ac:dyDescent="0.35">
      <c r="I906" s="2"/>
      <c r="K906" s="2"/>
    </row>
    <row r="907" spans="9:11" ht="14.5" x14ac:dyDescent="0.35">
      <c r="I907" s="2"/>
      <c r="K907" s="2"/>
    </row>
    <row r="908" spans="9:11" ht="14.5" x14ac:dyDescent="0.35">
      <c r="I908" s="2"/>
      <c r="K908" s="2"/>
    </row>
    <row r="909" spans="9:11" ht="14.5" x14ac:dyDescent="0.35">
      <c r="I909" s="2"/>
      <c r="K909" s="2"/>
    </row>
    <row r="910" spans="9:11" ht="14.5" x14ac:dyDescent="0.35">
      <c r="I910" s="2"/>
      <c r="K910" s="2"/>
    </row>
    <row r="911" spans="9:11" ht="14.5" x14ac:dyDescent="0.35">
      <c r="I911" s="2"/>
      <c r="K911" s="2"/>
    </row>
    <row r="912" spans="9:11" ht="14.5" x14ac:dyDescent="0.35">
      <c r="I912" s="2"/>
      <c r="K912" s="2"/>
    </row>
    <row r="913" spans="9:11" ht="14.5" x14ac:dyDescent="0.35">
      <c r="I913" s="2"/>
      <c r="K913" s="2"/>
    </row>
    <row r="914" spans="9:11" ht="14.5" x14ac:dyDescent="0.35">
      <c r="I914" s="2"/>
      <c r="K914" s="2"/>
    </row>
    <row r="915" spans="9:11" ht="14.5" x14ac:dyDescent="0.35">
      <c r="I915" s="2"/>
      <c r="K915" s="2"/>
    </row>
    <row r="916" spans="9:11" ht="14.5" x14ac:dyDescent="0.35">
      <c r="I916" s="2"/>
      <c r="K916" s="2"/>
    </row>
    <row r="917" spans="9:11" ht="14.5" x14ac:dyDescent="0.35">
      <c r="I917" s="2"/>
      <c r="K917" s="2"/>
    </row>
    <row r="918" spans="9:11" ht="14.5" x14ac:dyDescent="0.35">
      <c r="I918" s="2"/>
      <c r="K918" s="2"/>
    </row>
    <row r="919" spans="9:11" ht="14.5" x14ac:dyDescent="0.35">
      <c r="I919" s="2"/>
      <c r="K919" s="2"/>
    </row>
    <row r="920" spans="9:11" ht="14.5" x14ac:dyDescent="0.35">
      <c r="I920" s="2"/>
      <c r="K920" s="2"/>
    </row>
    <row r="921" spans="9:11" ht="14.5" x14ac:dyDescent="0.35">
      <c r="I921" s="2"/>
      <c r="K921" s="2"/>
    </row>
    <row r="922" spans="9:11" ht="14.5" x14ac:dyDescent="0.35">
      <c r="I922" s="2"/>
      <c r="K922" s="2"/>
    </row>
    <row r="923" spans="9:11" ht="14.5" x14ac:dyDescent="0.35">
      <c r="I923" s="2"/>
      <c r="K923" s="2"/>
    </row>
    <row r="924" spans="9:11" ht="14.5" x14ac:dyDescent="0.35">
      <c r="I924" s="2"/>
      <c r="K924" s="2"/>
    </row>
    <row r="925" spans="9:11" ht="14.5" x14ac:dyDescent="0.35">
      <c r="I925" s="2"/>
      <c r="K925" s="2"/>
    </row>
    <row r="926" spans="9:11" ht="14.5" x14ac:dyDescent="0.35">
      <c r="I926" s="2"/>
      <c r="K926" s="2"/>
    </row>
    <row r="927" spans="9:11" ht="14.5" x14ac:dyDescent="0.35">
      <c r="I927" s="2"/>
      <c r="K927" s="2"/>
    </row>
    <row r="928" spans="9:11" ht="14.5" x14ac:dyDescent="0.35">
      <c r="I928" s="2"/>
      <c r="K928" s="2"/>
    </row>
    <row r="929" spans="9:11" ht="14.5" x14ac:dyDescent="0.35">
      <c r="I929" s="2"/>
      <c r="K929" s="2"/>
    </row>
    <row r="930" spans="9:11" ht="14.5" x14ac:dyDescent="0.35">
      <c r="I930" s="2"/>
      <c r="K930" s="2"/>
    </row>
    <row r="931" spans="9:11" ht="14.5" x14ac:dyDescent="0.35">
      <c r="I931" s="2"/>
      <c r="K931" s="2"/>
    </row>
    <row r="932" spans="9:11" ht="14.5" x14ac:dyDescent="0.35">
      <c r="I932" s="2"/>
      <c r="K932" s="2"/>
    </row>
    <row r="933" spans="9:11" ht="14.5" x14ac:dyDescent="0.35">
      <c r="I933" s="2"/>
      <c r="K933" s="2"/>
    </row>
    <row r="934" spans="9:11" ht="14.5" x14ac:dyDescent="0.35">
      <c r="I934" s="2"/>
      <c r="K934" s="2"/>
    </row>
    <row r="935" spans="9:11" ht="14.5" x14ac:dyDescent="0.35">
      <c r="I935" s="2"/>
      <c r="K935" s="2"/>
    </row>
    <row r="936" spans="9:11" ht="14.5" x14ac:dyDescent="0.35">
      <c r="I936" s="2"/>
      <c r="K936" s="2"/>
    </row>
    <row r="937" spans="9:11" ht="14.5" x14ac:dyDescent="0.35">
      <c r="I937" s="2"/>
      <c r="K937" s="2"/>
    </row>
    <row r="938" spans="9:11" ht="14.5" x14ac:dyDescent="0.35">
      <c r="I938" s="2"/>
      <c r="K938" s="2"/>
    </row>
    <row r="939" spans="9:11" ht="14.5" x14ac:dyDescent="0.35">
      <c r="I939" s="2"/>
      <c r="K939" s="2"/>
    </row>
    <row r="940" spans="9:11" ht="14.5" x14ac:dyDescent="0.35">
      <c r="I940" s="2"/>
      <c r="K940" s="2"/>
    </row>
    <row r="941" spans="9:11" ht="14.5" x14ac:dyDescent="0.35">
      <c r="I941" s="2"/>
      <c r="K941" s="2"/>
    </row>
    <row r="942" spans="9:11" ht="14.5" x14ac:dyDescent="0.35">
      <c r="I942" s="2"/>
      <c r="K942" s="2"/>
    </row>
    <row r="943" spans="9:11" ht="14.5" x14ac:dyDescent="0.35">
      <c r="I943" s="2"/>
      <c r="K943" s="2"/>
    </row>
    <row r="944" spans="9:11" ht="14.5" x14ac:dyDescent="0.35">
      <c r="I944" s="2"/>
      <c r="K944" s="2"/>
    </row>
    <row r="945" spans="9:11" ht="14.5" x14ac:dyDescent="0.35">
      <c r="I945" s="2"/>
      <c r="K945" s="2"/>
    </row>
    <row r="946" spans="9:11" ht="14.5" x14ac:dyDescent="0.35">
      <c r="I946" s="2"/>
      <c r="K946" s="2"/>
    </row>
    <row r="947" spans="9:11" ht="14.5" x14ac:dyDescent="0.35">
      <c r="I947" s="2"/>
      <c r="K947" s="2"/>
    </row>
    <row r="948" spans="9:11" ht="14.5" x14ac:dyDescent="0.35">
      <c r="I948" s="2"/>
      <c r="K948" s="2"/>
    </row>
    <row r="949" spans="9:11" ht="14.5" x14ac:dyDescent="0.35">
      <c r="I949" s="2"/>
      <c r="K949" s="2"/>
    </row>
    <row r="950" spans="9:11" ht="14.5" x14ac:dyDescent="0.35">
      <c r="I950" s="2"/>
      <c r="K950" s="2"/>
    </row>
    <row r="951" spans="9:11" ht="14.5" x14ac:dyDescent="0.35">
      <c r="I951" s="2"/>
      <c r="K951" s="2"/>
    </row>
    <row r="952" spans="9:11" ht="14.5" x14ac:dyDescent="0.35">
      <c r="I952" s="2"/>
      <c r="K952" s="2"/>
    </row>
    <row r="953" spans="9:11" ht="14.5" x14ac:dyDescent="0.35">
      <c r="I953" s="2"/>
      <c r="K953" s="2"/>
    </row>
    <row r="954" spans="9:11" ht="14.5" x14ac:dyDescent="0.35">
      <c r="I954" s="2"/>
      <c r="K954" s="2"/>
    </row>
    <row r="955" spans="9:11" ht="14.5" x14ac:dyDescent="0.35">
      <c r="I955" s="2"/>
      <c r="K955" s="2"/>
    </row>
    <row r="956" spans="9:11" ht="14.5" x14ac:dyDescent="0.35">
      <c r="I956" s="2"/>
      <c r="K956" s="2"/>
    </row>
    <row r="957" spans="9:11" ht="14.5" x14ac:dyDescent="0.35">
      <c r="I957" s="2"/>
      <c r="K957" s="2"/>
    </row>
    <row r="958" spans="9:11" ht="14.5" x14ac:dyDescent="0.35">
      <c r="I958" s="2"/>
      <c r="K958" s="2"/>
    </row>
    <row r="959" spans="9:11" ht="14.5" x14ac:dyDescent="0.35">
      <c r="I959" s="2"/>
      <c r="K959" s="2"/>
    </row>
    <row r="960" spans="9:11" ht="14.5" x14ac:dyDescent="0.35">
      <c r="I960" s="2"/>
      <c r="K960" s="2"/>
    </row>
    <row r="961" spans="9:11" ht="14.5" x14ac:dyDescent="0.35">
      <c r="I961" s="2"/>
      <c r="K961" s="2"/>
    </row>
    <row r="962" spans="9:11" ht="14.5" x14ac:dyDescent="0.35">
      <c r="I962" s="2"/>
      <c r="K962" s="2"/>
    </row>
    <row r="963" spans="9:11" ht="14.5" x14ac:dyDescent="0.35">
      <c r="I963" s="2"/>
      <c r="K963" s="2"/>
    </row>
    <row r="964" spans="9:11" ht="14.5" x14ac:dyDescent="0.35">
      <c r="I964" s="2"/>
      <c r="K964" s="2"/>
    </row>
    <row r="965" spans="9:11" ht="14.5" x14ac:dyDescent="0.35">
      <c r="I965" s="2"/>
      <c r="K965" s="2"/>
    </row>
    <row r="966" spans="9:11" ht="14.5" x14ac:dyDescent="0.35">
      <c r="I966" s="2"/>
      <c r="K966" s="2"/>
    </row>
    <row r="967" spans="9:11" ht="14.5" x14ac:dyDescent="0.35">
      <c r="I967" s="2"/>
      <c r="K967" s="2"/>
    </row>
    <row r="968" spans="9:11" ht="14.5" x14ac:dyDescent="0.35">
      <c r="I968" s="2"/>
      <c r="K968" s="2"/>
    </row>
    <row r="969" spans="9:11" ht="14.5" x14ac:dyDescent="0.35">
      <c r="I969" s="2"/>
      <c r="K969" s="2"/>
    </row>
    <row r="970" spans="9:11" ht="14.5" x14ac:dyDescent="0.35">
      <c r="I970" s="2"/>
      <c r="K970" s="2"/>
    </row>
    <row r="971" spans="9:11" ht="14.5" x14ac:dyDescent="0.35">
      <c r="I971" s="2"/>
      <c r="K971" s="2"/>
    </row>
    <row r="972" spans="9:11" ht="14.5" x14ac:dyDescent="0.35">
      <c r="I972" s="2"/>
      <c r="K972" s="2"/>
    </row>
    <row r="973" spans="9:11" ht="14.5" x14ac:dyDescent="0.35">
      <c r="I973" s="2"/>
      <c r="K973" s="2"/>
    </row>
    <row r="974" spans="9:11" ht="14.5" x14ac:dyDescent="0.35">
      <c r="I974" s="2"/>
      <c r="K974" s="2"/>
    </row>
    <row r="975" spans="9:11" ht="14.5" x14ac:dyDescent="0.35">
      <c r="I975" s="2"/>
      <c r="K975" s="2"/>
    </row>
    <row r="976" spans="9:11" ht="14.5" x14ac:dyDescent="0.35">
      <c r="I976" s="2"/>
      <c r="K976" s="2"/>
    </row>
    <row r="977" spans="9:11" ht="14.5" x14ac:dyDescent="0.35">
      <c r="I977" s="2"/>
      <c r="K977" s="2"/>
    </row>
    <row r="978" spans="9:11" ht="14.5" x14ac:dyDescent="0.35">
      <c r="I978" s="2"/>
      <c r="K978" s="2"/>
    </row>
    <row r="979" spans="9:11" ht="14.5" x14ac:dyDescent="0.35">
      <c r="I979" s="2"/>
      <c r="K979" s="2"/>
    </row>
    <row r="980" spans="9:11" ht="14.5" x14ac:dyDescent="0.35">
      <c r="I980" s="2"/>
      <c r="K980" s="2"/>
    </row>
    <row r="981" spans="9:11" ht="14.5" x14ac:dyDescent="0.35">
      <c r="I981" s="2"/>
      <c r="K981" s="2"/>
    </row>
    <row r="982" spans="9:11" ht="14.5" x14ac:dyDescent="0.35">
      <c r="I982" s="2"/>
      <c r="K982" s="2"/>
    </row>
    <row r="983" spans="9:11" ht="14.5" x14ac:dyDescent="0.35">
      <c r="I983" s="2"/>
      <c r="K983" s="2"/>
    </row>
    <row r="984" spans="9:11" ht="14.5" x14ac:dyDescent="0.35">
      <c r="I984" s="2"/>
      <c r="K984" s="2"/>
    </row>
    <row r="985" spans="9:11" ht="14.5" x14ac:dyDescent="0.35">
      <c r="I985" s="2"/>
      <c r="K985" s="2"/>
    </row>
    <row r="986" spans="9:11" ht="14.5" x14ac:dyDescent="0.35">
      <c r="I986" s="2"/>
      <c r="K986" s="2"/>
    </row>
    <row r="987" spans="9:11" ht="14.5" x14ac:dyDescent="0.35">
      <c r="I987" s="2"/>
      <c r="K987" s="2"/>
    </row>
    <row r="988" spans="9:11" ht="14.5" x14ac:dyDescent="0.35">
      <c r="I988" s="2"/>
      <c r="K988" s="2"/>
    </row>
    <row r="989" spans="9:11" ht="14.5" x14ac:dyDescent="0.35">
      <c r="I989" s="2"/>
      <c r="K989" s="2"/>
    </row>
    <row r="990" spans="9:11" ht="14.5" x14ac:dyDescent="0.35">
      <c r="I990" s="2"/>
      <c r="K990" s="2"/>
    </row>
    <row r="991" spans="9:11" ht="14.5" x14ac:dyDescent="0.35">
      <c r="I991" s="2"/>
      <c r="K991" s="2"/>
    </row>
    <row r="992" spans="9:11" ht="14.5" x14ac:dyDescent="0.35">
      <c r="I992" s="2"/>
      <c r="K992" s="2"/>
    </row>
    <row r="993" spans="9:11" ht="14.5" x14ac:dyDescent="0.35">
      <c r="I993" s="2"/>
      <c r="K993" s="2"/>
    </row>
    <row r="994" spans="9:11" ht="14.5" x14ac:dyDescent="0.35">
      <c r="I994" s="2"/>
      <c r="K994" s="2"/>
    </row>
    <row r="995" spans="9:11" ht="14.5" x14ac:dyDescent="0.35">
      <c r="I995" s="2"/>
      <c r="K995" s="2"/>
    </row>
    <row r="996" spans="9:11" ht="14.5" x14ac:dyDescent="0.35">
      <c r="I996" s="2"/>
      <c r="K996" s="2"/>
    </row>
    <row r="997" spans="9:11" ht="14.5" x14ac:dyDescent="0.35">
      <c r="I997" s="2"/>
      <c r="K997" s="2"/>
    </row>
    <row r="998" spans="9:11" ht="14.5" x14ac:dyDescent="0.35">
      <c r="I998" s="2"/>
      <c r="K998" s="2"/>
    </row>
    <row r="999" spans="9:11" ht="14.5" x14ac:dyDescent="0.35">
      <c r="I999" s="2"/>
      <c r="K999" s="2"/>
    </row>
    <row r="1000" spans="9:11" ht="14.5" x14ac:dyDescent="0.35">
      <c r="I1000" s="2"/>
      <c r="K1000" s="2"/>
    </row>
    <row r="1001" spans="9:11" ht="14.5" x14ac:dyDescent="0.35">
      <c r="I1001" s="2"/>
      <c r="K1001" s="2"/>
    </row>
    <row r="1002" spans="9:11" ht="14.5" x14ac:dyDescent="0.35">
      <c r="I1002" s="2"/>
      <c r="K1002" s="2"/>
    </row>
    <row r="1003" spans="9:11" ht="14.5" x14ac:dyDescent="0.35">
      <c r="I1003" s="2"/>
      <c r="K1003" s="2"/>
    </row>
    <row r="1004" spans="9:11" ht="14.5" x14ac:dyDescent="0.35">
      <c r="I1004" s="2"/>
      <c r="K1004" s="2"/>
    </row>
    <row r="1005" spans="9:11" ht="14.5" x14ac:dyDescent="0.35">
      <c r="I1005" s="2"/>
      <c r="K1005" s="2"/>
    </row>
  </sheetData>
  <mergeCells count="1">
    <mergeCell ref="A3:B3"/>
  </mergeCells>
  <conditionalFormatting sqref="K7:K44">
    <cfRule type="cellIs" dxfId="18" priority="1" operator="lessThan">
      <formula>10</formula>
    </cfRule>
  </conditionalFormatting>
  <conditionalFormatting sqref="L7:L44 M12 M20:M21 M23:M27 M29 M35 M37:M38 M40 M42:M43">
    <cfRule type="cellIs" dxfId="17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1"/>
  <sheetViews>
    <sheetView workbookViewId="0">
      <selection activeCell="A3" sqref="A3:B3"/>
    </sheetView>
  </sheetViews>
  <sheetFormatPr defaultColWidth="14.453125" defaultRowHeight="15" customHeight="1" x14ac:dyDescent="0.35"/>
  <cols>
    <col min="1" max="1" width="7.08984375" customWidth="1"/>
    <col min="2" max="2" width="23.453125" customWidth="1"/>
    <col min="3" max="9" width="7.54296875" customWidth="1"/>
    <col min="10" max="10" width="9.08984375" customWidth="1"/>
    <col min="11" max="11" width="8" customWidth="1"/>
    <col min="12" max="12" width="18.08984375" customWidth="1"/>
    <col min="13" max="13" width="9.08984375" customWidth="1"/>
  </cols>
  <sheetData>
    <row r="1" spans="1:13" x14ac:dyDescent="0.35">
      <c r="A1" s="1" t="s">
        <v>0</v>
      </c>
      <c r="I1" s="2"/>
      <c r="K1" s="3" t="s">
        <v>1</v>
      </c>
      <c r="L1" s="4" t="s">
        <v>2</v>
      </c>
      <c r="M1" s="5">
        <v>0.1</v>
      </c>
    </row>
    <row r="2" spans="1:13" x14ac:dyDescent="0.35">
      <c r="I2" s="2"/>
      <c r="K2" s="2"/>
      <c r="L2" s="4" t="s">
        <v>3</v>
      </c>
      <c r="M2" s="5">
        <v>0.7</v>
      </c>
    </row>
    <row r="3" spans="1:13" x14ac:dyDescent="0.35">
      <c r="A3" s="40" t="s">
        <v>4</v>
      </c>
      <c r="B3" s="41"/>
      <c r="I3" s="2"/>
      <c r="K3" s="2"/>
      <c r="L3" s="4" t="s">
        <v>5</v>
      </c>
      <c r="M3" s="5">
        <v>0.2</v>
      </c>
    </row>
    <row r="4" spans="1:13" x14ac:dyDescent="0.35">
      <c r="A4" s="6"/>
      <c r="B4" s="7"/>
      <c r="E4" s="8"/>
      <c r="I4" s="9"/>
      <c r="K4" s="9"/>
    </row>
    <row r="5" spans="1:13" x14ac:dyDescent="0.35">
      <c r="A5" s="10"/>
      <c r="B5" s="11"/>
      <c r="E5" s="12" t="s">
        <v>6</v>
      </c>
      <c r="I5" s="13" t="s">
        <v>6</v>
      </c>
      <c r="K5" s="13" t="s">
        <v>6</v>
      </c>
    </row>
    <row r="6" spans="1:13" x14ac:dyDescent="0.35">
      <c r="A6" s="14" t="s">
        <v>7</v>
      </c>
      <c r="B6" s="14" t="s">
        <v>8</v>
      </c>
      <c r="C6" s="15" t="s">
        <v>9</v>
      </c>
      <c r="D6" s="15" t="s">
        <v>10</v>
      </c>
      <c r="E6" s="12" t="s">
        <v>11</v>
      </c>
      <c r="F6" s="15" t="s">
        <v>12</v>
      </c>
      <c r="G6" s="15" t="s">
        <v>13</v>
      </c>
      <c r="H6" s="15" t="s">
        <v>14</v>
      </c>
      <c r="I6" s="13" t="s">
        <v>15</v>
      </c>
      <c r="J6" s="15" t="s">
        <v>2</v>
      </c>
      <c r="K6" s="13" t="s">
        <v>16</v>
      </c>
      <c r="L6" s="16" t="s">
        <v>17</v>
      </c>
      <c r="M6" s="16" t="s">
        <v>18</v>
      </c>
    </row>
    <row r="7" spans="1:13" x14ac:dyDescent="0.35">
      <c r="A7" s="17">
        <v>1</v>
      </c>
      <c r="B7" s="17" t="s">
        <v>19</v>
      </c>
      <c r="C7" s="15">
        <f>'Ficha 1'!T6</f>
        <v>0</v>
      </c>
      <c r="D7" s="15">
        <f>'Ficha 2'!Q6</f>
        <v>0</v>
      </c>
      <c r="E7" s="18">
        <f t="shared" ref="E7:E44" si="0">AVERAGE(C7:D7)</f>
        <v>0</v>
      </c>
      <c r="F7" s="15">
        <f>'Teste 1'!R5</f>
        <v>0</v>
      </c>
      <c r="G7" s="15">
        <f>'Teste 2'!O5</f>
        <v>0</v>
      </c>
      <c r="H7" s="15">
        <f>'Teste 3'!O5</f>
        <v>0</v>
      </c>
      <c r="I7" s="18">
        <f t="shared" ref="I7:I44" si="1">AVERAGE(F7:H7)</f>
        <v>0</v>
      </c>
      <c r="J7" s="19">
        <f>Presenças!AH7</f>
        <v>0</v>
      </c>
      <c r="K7" s="20">
        <f t="shared" ref="K7:K44" si="2">$M$3*E7+$M$2*I7+$M$1*J7</f>
        <v>0</v>
      </c>
      <c r="L7" s="16"/>
      <c r="M7" s="16"/>
    </row>
    <row r="8" spans="1:13" x14ac:dyDescent="0.35">
      <c r="A8" s="17">
        <v>2</v>
      </c>
      <c r="B8" s="17" t="s">
        <v>20</v>
      </c>
      <c r="C8" s="15">
        <f>'Ficha 1'!T7</f>
        <v>0</v>
      </c>
      <c r="D8" s="15">
        <f>'Ficha 2'!Q7</f>
        <v>0</v>
      </c>
      <c r="E8" s="18">
        <f t="shared" si="0"/>
        <v>0</v>
      </c>
      <c r="F8" s="15">
        <f>'Teste 1'!R6</f>
        <v>0</v>
      </c>
      <c r="G8" s="15">
        <f>'Teste 2'!O6</f>
        <v>0</v>
      </c>
      <c r="H8" s="15">
        <f>'Teste 3'!O6</f>
        <v>0</v>
      </c>
      <c r="I8" s="18">
        <f t="shared" si="1"/>
        <v>0</v>
      </c>
      <c r="J8" s="19">
        <f>Presenças!AH8</f>
        <v>0</v>
      </c>
      <c r="K8" s="20">
        <f t="shared" si="2"/>
        <v>0</v>
      </c>
      <c r="L8" s="16"/>
      <c r="M8" s="15"/>
    </row>
    <row r="9" spans="1:13" x14ac:dyDescent="0.35">
      <c r="A9" s="21">
        <v>3</v>
      </c>
      <c r="B9" s="17" t="s">
        <v>21</v>
      </c>
      <c r="C9" s="15">
        <f>'Ficha 1'!T8</f>
        <v>0</v>
      </c>
      <c r="D9" s="15">
        <f>'Ficha 2'!Q8</f>
        <v>0</v>
      </c>
      <c r="E9" s="18">
        <f t="shared" si="0"/>
        <v>0</v>
      </c>
      <c r="F9" s="15">
        <f>'Teste 1'!R7</f>
        <v>0</v>
      </c>
      <c r="G9" s="15">
        <f>'Teste 2'!O7</f>
        <v>0</v>
      </c>
      <c r="H9" s="15">
        <f>'Teste 3'!O7</f>
        <v>0</v>
      </c>
      <c r="I9" s="18">
        <f t="shared" si="1"/>
        <v>0</v>
      </c>
      <c r="J9" s="19">
        <f>Presenças!AH9</f>
        <v>0</v>
      </c>
      <c r="K9" s="20">
        <f t="shared" si="2"/>
        <v>0</v>
      </c>
      <c r="L9" s="16"/>
      <c r="M9" s="16"/>
    </row>
    <row r="10" spans="1:13" x14ac:dyDescent="0.35">
      <c r="A10" s="17">
        <v>4</v>
      </c>
      <c r="B10" s="17" t="s">
        <v>22</v>
      </c>
      <c r="C10" s="15">
        <f>'Ficha 1'!T9</f>
        <v>0</v>
      </c>
      <c r="D10" s="15">
        <f>'Ficha 2'!Q9</f>
        <v>0</v>
      </c>
      <c r="E10" s="18">
        <f t="shared" si="0"/>
        <v>0</v>
      </c>
      <c r="F10" s="15">
        <f>'Teste 1'!R8</f>
        <v>0</v>
      </c>
      <c r="G10" s="15">
        <f>'Teste 2'!O8</f>
        <v>0</v>
      </c>
      <c r="H10" s="15">
        <f>'Teste 3'!O8</f>
        <v>0</v>
      </c>
      <c r="I10" s="18">
        <f t="shared" si="1"/>
        <v>0</v>
      </c>
      <c r="J10" s="19">
        <f>Presenças!AH10</f>
        <v>0</v>
      </c>
      <c r="K10" s="20">
        <f t="shared" si="2"/>
        <v>0</v>
      </c>
      <c r="L10" s="16"/>
      <c r="M10" s="15"/>
    </row>
    <row r="11" spans="1:13" x14ac:dyDescent="0.35">
      <c r="A11" s="17">
        <v>5</v>
      </c>
      <c r="B11" s="17" t="s">
        <v>23</v>
      </c>
      <c r="C11" s="15">
        <f>'Ficha 1'!T10</f>
        <v>0</v>
      </c>
      <c r="D11" s="15">
        <f>'Ficha 2'!Q10</f>
        <v>0</v>
      </c>
      <c r="E11" s="18">
        <f t="shared" si="0"/>
        <v>0</v>
      </c>
      <c r="F11" s="15">
        <f>'Teste 1'!R9</f>
        <v>0</v>
      </c>
      <c r="G11" s="15">
        <f>'Teste 2'!O9</f>
        <v>0</v>
      </c>
      <c r="H11" s="15">
        <f>'Teste 3'!O9</f>
        <v>0</v>
      </c>
      <c r="I11" s="18">
        <f t="shared" si="1"/>
        <v>0</v>
      </c>
      <c r="J11" s="19">
        <f>Presenças!AH11</f>
        <v>0</v>
      </c>
      <c r="K11" s="20">
        <f t="shared" si="2"/>
        <v>0</v>
      </c>
      <c r="L11" s="16"/>
      <c r="M11" s="15"/>
    </row>
    <row r="12" spans="1:13" x14ac:dyDescent="0.35">
      <c r="A12" s="17">
        <v>6</v>
      </c>
      <c r="B12" s="17" t="s">
        <v>24</v>
      </c>
      <c r="C12" s="15">
        <f>'Ficha 1'!T11</f>
        <v>0</v>
      </c>
      <c r="D12" s="15">
        <f>'Ficha 2'!Q11</f>
        <v>0</v>
      </c>
      <c r="E12" s="18">
        <f t="shared" si="0"/>
        <v>0</v>
      </c>
      <c r="F12" s="15">
        <f>'Teste 1'!R10</f>
        <v>0</v>
      </c>
      <c r="G12" s="15">
        <f>'Teste 2'!O10</f>
        <v>0</v>
      </c>
      <c r="H12" s="15">
        <f>'Teste 3'!O10</f>
        <v>0</v>
      </c>
      <c r="I12" s="18">
        <f t="shared" si="1"/>
        <v>0</v>
      </c>
      <c r="J12" s="19">
        <f>Presenças!AH12</f>
        <v>0</v>
      </c>
      <c r="K12" s="20">
        <f t="shared" si="2"/>
        <v>0</v>
      </c>
      <c r="L12" s="16"/>
      <c r="M12" s="16"/>
    </row>
    <row r="13" spans="1:13" x14ac:dyDescent="0.35">
      <c r="A13" s="21">
        <v>7</v>
      </c>
      <c r="B13" s="17" t="s">
        <v>25</v>
      </c>
      <c r="C13" s="15">
        <f>'Ficha 1'!T12</f>
        <v>0</v>
      </c>
      <c r="D13" s="15">
        <f>'Ficha 2'!Q12</f>
        <v>0</v>
      </c>
      <c r="E13" s="18">
        <f t="shared" si="0"/>
        <v>0</v>
      </c>
      <c r="F13" s="15">
        <f>'Teste 1'!R11</f>
        <v>0</v>
      </c>
      <c r="G13" s="15">
        <f>'Teste 2'!O11</f>
        <v>0</v>
      </c>
      <c r="H13" s="15">
        <f>'Teste 3'!O11</f>
        <v>0</v>
      </c>
      <c r="I13" s="18">
        <f t="shared" si="1"/>
        <v>0</v>
      </c>
      <c r="J13" s="19">
        <f>Presenças!AH13</f>
        <v>0</v>
      </c>
      <c r="K13" s="20">
        <f t="shared" si="2"/>
        <v>0</v>
      </c>
      <c r="L13" s="16"/>
      <c r="M13" s="16"/>
    </row>
    <row r="14" spans="1:13" x14ac:dyDescent="0.35">
      <c r="A14" s="17">
        <v>8</v>
      </c>
      <c r="B14" s="17" t="s">
        <v>26</v>
      </c>
      <c r="C14" s="15">
        <f>'Ficha 1'!T13</f>
        <v>0</v>
      </c>
      <c r="D14" s="15">
        <f>'Ficha 2'!Q13</f>
        <v>0</v>
      </c>
      <c r="E14" s="18">
        <f t="shared" si="0"/>
        <v>0</v>
      </c>
      <c r="F14" s="15">
        <f>'Teste 1'!R12</f>
        <v>0</v>
      </c>
      <c r="G14" s="15">
        <f>'Teste 2'!O12</f>
        <v>0</v>
      </c>
      <c r="H14" s="15">
        <f>'Teste 3'!O12</f>
        <v>0</v>
      </c>
      <c r="I14" s="18">
        <f t="shared" si="1"/>
        <v>0</v>
      </c>
      <c r="J14" s="19">
        <f>Presenças!AH14</f>
        <v>0</v>
      </c>
      <c r="K14" s="20">
        <f t="shared" si="2"/>
        <v>0</v>
      </c>
      <c r="L14" s="16"/>
      <c r="M14" s="15"/>
    </row>
    <row r="15" spans="1:13" x14ac:dyDescent="0.35">
      <c r="A15" s="17">
        <v>9</v>
      </c>
      <c r="B15" s="17" t="s">
        <v>27</v>
      </c>
      <c r="C15" s="15">
        <f>'Ficha 1'!T14</f>
        <v>0</v>
      </c>
      <c r="D15" s="15">
        <f>'Ficha 2'!Q14</f>
        <v>0</v>
      </c>
      <c r="E15" s="18">
        <f t="shared" si="0"/>
        <v>0</v>
      </c>
      <c r="F15" s="15">
        <f>'Teste 1'!R13</f>
        <v>0</v>
      </c>
      <c r="G15" s="15">
        <f>'Teste 2'!O13</f>
        <v>0</v>
      </c>
      <c r="H15" s="15">
        <f>'Teste 3'!O13</f>
        <v>0</v>
      </c>
      <c r="I15" s="18">
        <f t="shared" si="1"/>
        <v>0</v>
      </c>
      <c r="J15" s="19">
        <f>Presenças!AH15</f>
        <v>0</v>
      </c>
      <c r="K15" s="20">
        <f t="shared" si="2"/>
        <v>0</v>
      </c>
      <c r="L15" s="16"/>
      <c r="M15" s="15"/>
    </row>
    <row r="16" spans="1:13" x14ac:dyDescent="0.35">
      <c r="A16" s="21">
        <v>10</v>
      </c>
      <c r="B16" s="17" t="s">
        <v>28</v>
      </c>
      <c r="C16" s="15">
        <f>'Ficha 1'!T15</f>
        <v>0</v>
      </c>
      <c r="D16" s="15">
        <f>'Ficha 2'!Q15</f>
        <v>0</v>
      </c>
      <c r="E16" s="18">
        <f t="shared" si="0"/>
        <v>0</v>
      </c>
      <c r="F16" s="15">
        <f>'Teste 1'!R14</f>
        <v>0</v>
      </c>
      <c r="G16" s="15">
        <f>'Teste 2'!O14</f>
        <v>0</v>
      </c>
      <c r="H16" s="15">
        <f>'Teste 3'!O14</f>
        <v>0</v>
      </c>
      <c r="I16" s="18">
        <f t="shared" si="1"/>
        <v>0</v>
      </c>
      <c r="J16" s="19">
        <f>Presenças!AH16</f>
        <v>0</v>
      </c>
      <c r="K16" s="20">
        <f t="shared" si="2"/>
        <v>0</v>
      </c>
      <c r="L16" s="16"/>
      <c r="M16" s="16"/>
    </row>
    <row r="17" spans="1:13" x14ac:dyDescent="0.35">
      <c r="A17" s="17">
        <v>11</v>
      </c>
      <c r="B17" s="17" t="s">
        <v>29</v>
      </c>
      <c r="C17" s="15">
        <f>'Ficha 1'!T16</f>
        <v>0</v>
      </c>
      <c r="D17" s="15">
        <f>'Ficha 2'!Q16</f>
        <v>0</v>
      </c>
      <c r="E17" s="18">
        <f t="shared" si="0"/>
        <v>0</v>
      </c>
      <c r="F17" s="15">
        <f>'Teste 1'!R15</f>
        <v>0</v>
      </c>
      <c r="G17" s="15">
        <f>'Teste 2'!O15</f>
        <v>0</v>
      </c>
      <c r="H17" s="15">
        <f>'Teste 3'!O15</f>
        <v>0</v>
      </c>
      <c r="I17" s="18">
        <f t="shared" si="1"/>
        <v>0</v>
      </c>
      <c r="J17" s="19">
        <f>Presenças!AH17</f>
        <v>0</v>
      </c>
      <c r="K17" s="20">
        <f t="shared" si="2"/>
        <v>0</v>
      </c>
      <c r="L17" s="16"/>
      <c r="M17" s="15"/>
    </row>
    <row r="18" spans="1:13" x14ac:dyDescent="0.35">
      <c r="A18" s="21">
        <v>12</v>
      </c>
      <c r="B18" s="17" t="s">
        <v>31</v>
      </c>
      <c r="C18" s="15">
        <f>'Ficha 1'!T17</f>
        <v>0</v>
      </c>
      <c r="D18" s="15">
        <f>'Ficha 2'!Q17</f>
        <v>0</v>
      </c>
      <c r="E18" s="18">
        <f t="shared" si="0"/>
        <v>0</v>
      </c>
      <c r="F18" s="15">
        <f>'Teste 1'!R16</f>
        <v>0</v>
      </c>
      <c r="G18" s="15">
        <f>'Teste 2'!O16</f>
        <v>0</v>
      </c>
      <c r="H18" s="15">
        <f>'Teste 3'!O16</f>
        <v>0</v>
      </c>
      <c r="I18" s="18">
        <f t="shared" si="1"/>
        <v>0</v>
      </c>
      <c r="J18" s="19">
        <f>Presenças!AH18</f>
        <v>0</v>
      </c>
      <c r="K18" s="20">
        <f t="shared" si="2"/>
        <v>0</v>
      </c>
      <c r="L18" s="16"/>
      <c r="M18" s="16"/>
    </row>
    <row r="19" spans="1:13" x14ac:dyDescent="0.35">
      <c r="A19" s="17">
        <v>13</v>
      </c>
      <c r="B19" s="17" t="s">
        <v>36</v>
      </c>
      <c r="C19" s="15">
        <f>'Ficha 1'!T18</f>
        <v>0</v>
      </c>
      <c r="D19" s="15">
        <f>'Ficha 2'!Q18</f>
        <v>0</v>
      </c>
      <c r="E19" s="18">
        <f t="shared" si="0"/>
        <v>0</v>
      </c>
      <c r="F19" s="15">
        <f>'Teste 1'!R17</f>
        <v>0</v>
      </c>
      <c r="G19" s="15">
        <f>'Teste 2'!O17</f>
        <v>0</v>
      </c>
      <c r="H19" s="15">
        <f>'Teste 3'!O17</f>
        <v>0</v>
      </c>
      <c r="I19" s="18">
        <f t="shared" si="1"/>
        <v>0</v>
      </c>
      <c r="J19" s="19">
        <f>Presenças!AH19</f>
        <v>0</v>
      </c>
      <c r="K19" s="20">
        <f t="shared" si="2"/>
        <v>0</v>
      </c>
      <c r="L19" s="16"/>
      <c r="M19" s="15"/>
    </row>
    <row r="20" spans="1:13" x14ac:dyDescent="0.35">
      <c r="A20" s="17">
        <v>14</v>
      </c>
      <c r="B20" s="17" t="s">
        <v>47</v>
      </c>
      <c r="C20" s="15">
        <f>'Ficha 1'!T19</f>
        <v>0</v>
      </c>
      <c r="D20" s="15">
        <f>'Ficha 2'!Q19</f>
        <v>0</v>
      </c>
      <c r="E20" s="18">
        <f t="shared" si="0"/>
        <v>0</v>
      </c>
      <c r="F20" s="15">
        <f>'Teste 1'!R18</f>
        <v>0</v>
      </c>
      <c r="G20" s="15">
        <f>'Teste 2'!O18</f>
        <v>0</v>
      </c>
      <c r="H20" s="15">
        <f>'Teste 3'!O18</f>
        <v>0</v>
      </c>
      <c r="I20" s="18">
        <f t="shared" si="1"/>
        <v>0</v>
      </c>
      <c r="J20" s="19">
        <f>Presenças!AH20</f>
        <v>0</v>
      </c>
      <c r="K20" s="20">
        <f t="shared" si="2"/>
        <v>0</v>
      </c>
      <c r="L20" s="16"/>
      <c r="M20" s="16"/>
    </row>
    <row r="21" spans="1:13" x14ac:dyDescent="0.35">
      <c r="A21" s="17">
        <v>15</v>
      </c>
      <c r="B21" s="17" t="s">
        <v>48</v>
      </c>
      <c r="C21" s="15">
        <f>'Ficha 1'!T20</f>
        <v>0</v>
      </c>
      <c r="D21" s="15">
        <f>'Ficha 2'!Q20</f>
        <v>0</v>
      </c>
      <c r="E21" s="18">
        <f t="shared" si="0"/>
        <v>0</v>
      </c>
      <c r="F21" s="15">
        <f>'Teste 1'!R19</f>
        <v>0</v>
      </c>
      <c r="G21" s="15">
        <f>'Teste 2'!O19</f>
        <v>0</v>
      </c>
      <c r="H21" s="15">
        <f>'Teste 3'!O19</f>
        <v>0</v>
      </c>
      <c r="I21" s="18">
        <f t="shared" si="1"/>
        <v>0</v>
      </c>
      <c r="J21" s="19">
        <f>Presenças!AH21</f>
        <v>0</v>
      </c>
      <c r="K21" s="20">
        <f t="shared" si="2"/>
        <v>0</v>
      </c>
      <c r="L21" s="16"/>
      <c r="M21" s="16"/>
    </row>
    <row r="22" spans="1:13" x14ac:dyDescent="0.35">
      <c r="A22" s="17">
        <v>16</v>
      </c>
      <c r="B22" s="17" t="s">
        <v>59</v>
      </c>
      <c r="C22" s="15">
        <f>'Ficha 1'!T21</f>
        <v>0</v>
      </c>
      <c r="D22" s="15">
        <f>'Ficha 2'!Q21</f>
        <v>0</v>
      </c>
      <c r="E22" s="18">
        <f t="shared" si="0"/>
        <v>0</v>
      </c>
      <c r="F22" s="15">
        <f>'Teste 1'!R20</f>
        <v>0</v>
      </c>
      <c r="G22" s="15">
        <f>'Teste 2'!O20</f>
        <v>0</v>
      </c>
      <c r="H22" s="15">
        <f>'Teste 3'!O20</f>
        <v>0</v>
      </c>
      <c r="I22" s="18">
        <f t="shared" si="1"/>
        <v>0</v>
      </c>
      <c r="J22" s="19">
        <f>Presenças!AH22</f>
        <v>0</v>
      </c>
      <c r="K22" s="20">
        <f t="shared" si="2"/>
        <v>0</v>
      </c>
      <c r="L22" s="16"/>
      <c r="M22" s="15"/>
    </row>
    <row r="23" spans="1:13" x14ac:dyDescent="0.35">
      <c r="A23" s="17">
        <v>17</v>
      </c>
      <c r="B23" s="17" t="s">
        <v>60</v>
      </c>
      <c r="C23" s="15">
        <f>'Ficha 1'!T22</f>
        <v>0</v>
      </c>
      <c r="D23" s="15">
        <f>'Ficha 2'!Q22</f>
        <v>0</v>
      </c>
      <c r="E23" s="18">
        <f t="shared" si="0"/>
        <v>0</v>
      </c>
      <c r="F23" s="15">
        <f>'Teste 1'!R21</f>
        <v>0</v>
      </c>
      <c r="G23" s="15">
        <f>'Teste 2'!O21</f>
        <v>0</v>
      </c>
      <c r="H23" s="15">
        <f>'Teste 3'!O21</f>
        <v>0</v>
      </c>
      <c r="I23" s="18">
        <f t="shared" si="1"/>
        <v>0</v>
      </c>
      <c r="J23" s="19">
        <f>Presenças!AH23</f>
        <v>0</v>
      </c>
      <c r="K23" s="20">
        <f t="shared" si="2"/>
        <v>0</v>
      </c>
      <c r="L23" s="16"/>
      <c r="M23" s="16"/>
    </row>
    <row r="24" spans="1:13" x14ac:dyDescent="0.35">
      <c r="A24" s="21">
        <v>18</v>
      </c>
      <c r="B24" s="17" t="s">
        <v>61</v>
      </c>
      <c r="C24" s="15">
        <f>'Ficha 1'!T23</f>
        <v>0</v>
      </c>
      <c r="D24" s="15">
        <f>'Ficha 2'!Q23</f>
        <v>0</v>
      </c>
      <c r="E24" s="18">
        <f t="shared" si="0"/>
        <v>0</v>
      </c>
      <c r="F24" s="15">
        <f>'Teste 1'!R22</f>
        <v>0</v>
      </c>
      <c r="G24" s="15">
        <f>'Teste 2'!O22</f>
        <v>0</v>
      </c>
      <c r="H24" s="15">
        <f>'Teste 3'!O22</f>
        <v>0</v>
      </c>
      <c r="I24" s="18">
        <f t="shared" si="1"/>
        <v>0</v>
      </c>
      <c r="J24" s="19">
        <f>Presenças!AH24</f>
        <v>0</v>
      </c>
      <c r="K24" s="20">
        <f t="shared" si="2"/>
        <v>0</v>
      </c>
      <c r="L24" s="16"/>
      <c r="M24" s="15"/>
    </row>
    <row r="25" spans="1:13" x14ac:dyDescent="0.35">
      <c r="A25" s="17">
        <v>19</v>
      </c>
      <c r="B25" s="17" t="s">
        <v>62</v>
      </c>
      <c r="C25" s="15">
        <f>'Ficha 1'!T24</f>
        <v>0</v>
      </c>
      <c r="D25" s="15">
        <f>'Ficha 2'!Q24</f>
        <v>0</v>
      </c>
      <c r="E25" s="18">
        <f t="shared" si="0"/>
        <v>0</v>
      </c>
      <c r="F25" s="15">
        <f>'Teste 1'!R23</f>
        <v>0</v>
      </c>
      <c r="G25" s="15">
        <f>'Teste 2'!O23</f>
        <v>0</v>
      </c>
      <c r="H25" s="15">
        <f>'Teste 3'!O23</f>
        <v>0</v>
      </c>
      <c r="I25" s="18">
        <f t="shared" si="1"/>
        <v>0</v>
      </c>
      <c r="J25" s="19">
        <f>Presenças!AH25</f>
        <v>0</v>
      </c>
      <c r="K25" s="20">
        <f t="shared" si="2"/>
        <v>0</v>
      </c>
      <c r="L25" s="16"/>
      <c r="M25" s="16"/>
    </row>
    <row r="26" spans="1:13" x14ac:dyDescent="0.35">
      <c r="A26" s="17">
        <v>20</v>
      </c>
      <c r="B26" s="17" t="s">
        <v>63</v>
      </c>
      <c r="C26" s="15">
        <f>'Ficha 1'!T25</f>
        <v>0</v>
      </c>
      <c r="D26" s="15">
        <f>'Ficha 2'!Q25</f>
        <v>0</v>
      </c>
      <c r="E26" s="18">
        <f t="shared" si="0"/>
        <v>0</v>
      </c>
      <c r="F26" s="15">
        <f>'Teste 1'!R24</f>
        <v>0</v>
      </c>
      <c r="G26" s="15">
        <f>'Teste 2'!O24</f>
        <v>0</v>
      </c>
      <c r="H26" s="15">
        <f>'Teste 3'!O24</f>
        <v>0</v>
      </c>
      <c r="I26" s="18">
        <f t="shared" si="1"/>
        <v>0</v>
      </c>
      <c r="J26" s="19">
        <f>Presenças!AH26</f>
        <v>0</v>
      </c>
      <c r="K26" s="20">
        <f t="shared" si="2"/>
        <v>0</v>
      </c>
      <c r="L26" s="16"/>
      <c r="M26" s="16"/>
    </row>
    <row r="27" spans="1:13" x14ac:dyDescent="0.35">
      <c r="A27" s="17">
        <v>21</v>
      </c>
      <c r="B27" s="17" t="s">
        <v>64</v>
      </c>
      <c r="C27" s="15">
        <f>'Ficha 1'!T26</f>
        <v>0</v>
      </c>
      <c r="D27" s="15">
        <f>'Ficha 2'!Q26</f>
        <v>0</v>
      </c>
      <c r="E27" s="18">
        <f t="shared" si="0"/>
        <v>0</v>
      </c>
      <c r="F27" s="15">
        <f>'Teste 1'!R25</f>
        <v>0</v>
      </c>
      <c r="G27" s="15">
        <f>'Teste 2'!O25</f>
        <v>0</v>
      </c>
      <c r="H27" s="15">
        <f>'Teste 3'!O25</f>
        <v>0</v>
      </c>
      <c r="I27" s="18">
        <f t="shared" si="1"/>
        <v>0</v>
      </c>
      <c r="J27" s="19">
        <f>Presenças!AH27</f>
        <v>0</v>
      </c>
      <c r="K27" s="20">
        <f t="shared" si="2"/>
        <v>0</v>
      </c>
      <c r="L27" s="16"/>
      <c r="M27" s="16"/>
    </row>
    <row r="28" spans="1:13" x14ac:dyDescent="0.35">
      <c r="A28" s="17">
        <v>22</v>
      </c>
      <c r="B28" s="17" t="s">
        <v>65</v>
      </c>
      <c r="C28" s="15">
        <f>'Ficha 1'!T27</f>
        <v>0</v>
      </c>
      <c r="D28" s="15">
        <f>'Ficha 2'!Q27</f>
        <v>0</v>
      </c>
      <c r="E28" s="18">
        <f t="shared" si="0"/>
        <v>0</v>
      </c>
      <c r="F28" s="15">
        <f>'Teste 1'!R26</f>
        <v>0</v>
      </c>
      <c r="G28" s="15">
        <f>'Teste 2'!O26</f>
        <v>0</v>
      </c>
      <c r="H28" s="15">
        <f>'Teste 3'!O26</f>
        <v>0</v>
      </c>
      <c r="I28" s="18">
        <f t="shared" si="1"/>
        <v>0</v>
      </c>
      <c r="J28" s="19">
        <f>Presenças!AH28</f>
        <v>0</v>
      </c>
      <c r="K28" s="20">
        <f t="shared" si="2"/>
        <v>0</v>
      </c>
      <c r="L28" s="16"/>
      <c r="M28" s="15"/>
    </row>
    <row r="29" spans="1:13" x14ac:dyDescent="0.35">
      <c r="A29" s="17">
        <v>23</v>
      </c>
      <c r="B29" s="17" t="s">
        <v>66</v>
      </c>
      <c r="C29" s="15">
        <f>'Ficha 1'!T28</f>
        <v>0</v>
      </c>
      <c r="D29" s="15">
        <f>'Ficha 2'!Q28</f>
        <v>0</v>
      </c>
      <c r="E29" s="18">
        <f t="shared" si="0"/>
        <v>0</v>
      </c>
      <c r="F29" s="15">
        <f>'Teste 1'!R27</f>
        <v>0</v>
      </c>
      <c r="G29" s="15">
        <f>'Teste 2'!O27</f>
        <v>0</v>
      </c>
      <c r="H29" s="15">
        <f>'Teste 3'!O27</f>
        <v>0</v>
      </c>
      <c r="I29" s="18">
        <f t="shared" si="1"/>
        <v>0</v>
      </c>
      <c r="J29" s="19">
        <f>Presenças!AH29</f>
        <v>0</v>
      </c>
      <c r="K29" s="20">
        <f t="shared" si="2"/>
        <v>0</v>
      </c>
      <c r="L29" s="16"/>
      <c r="M29" s="16"/>
    </row>
    <row r="30" spans="1:13" x14ac:dyDescent="0.35">
      <c r="A30" s="17">
        <v>24</v>
      </c>
      <c r="B30" s="17" t="s">
        <v>67</v>
      </c>
      <c r="C30" s="15">
        <f>'Ficha 1'!T29</f>
        <v>0</v>
      </c>
      <c r="D30" s="15">
        <f>'Ficha 2'!Q29</f>
        <v>0</v>
      </c>
      <c r="E30" s="18">
        <f t="shared" si="0"/>
        <v>0</v>
      </c>
      <c r="F30" s="15">
        <f>'Teste 1'!R28</f>
        <v>0</v>
      </c>
      <c r="G30" s="15">
        <f>'Teste 2'!O28</f>
        <v>0</v>
      </c>
      <c r="H30" s="15">
        <f>'Teste 3'!O28</f>
        <v>0</v>
      </c>
      <c r="I30" s="18">
        <f t="shared" si="1"/>
        <v>0</v>
      </c>
      <c r="J30" s="19">
        <f>Presenças!AH30</f>
        <v>0</v>
      </c>
      <c r="K30" s="20">
        <f t="shared" si="2"/>
        <v>0</v>
      </c>
      <c r="L30" s="16"/>
      <c r="M30" s="16"/>
    </row>
    <row r="31" spans="1:13" x14ac:dyDescent="0.35">
      <c r="A31" s="17">
        <v>25</v>
      </c>
      <c r="B31" s="17" t="s">
        <v>68</v>
      </c>
      <c r="C31" s="15">
        <f>'Ficha 1'!T30</f>
        <v>0</v>
      </c>
      <c r="D31" s="15">
        <f>'Ficha 2'!Q30</f>
        <v>0</v>
      </c>
      <c r="E31" s="18">
        <f t="shared" si="0"/>
        <v>0</v>
      </c>
      <c r="F31" s="15">
        <f>'Teste 1'!R29</f>
        <v>0</v>
      </c>
      <c r="G31" s="15">
        <f>'Teste 2'!O29</f>
        <v>0</v>
      </c>
      <c r="H31" s="15">
        <f>'Teste 3'!O29</f>
        <v>0</v>
      </c>
      <c r="I31" s="18">
        <f t="shared" si="1"/>
        <v>0</v>
      </c>
      <c r="J31" s="19">
        <f>Presenças!AH31</f>
        <v>0</v>
      </c>
      <c r="K31" s="20">
        <f t="shared" si="2"/>
        <v>0</v>
      </c>
      <c r="L31" s="16"/>
      <c r="M31" s="15"/>
    </row>
    <row r="32" spans="1:13" x14ac:dyDescent="0.35">
      <c r="A32" s="17">
        <v>26</v>
      </c>
      <c r="B32" s="17" t="s">
        <v>69</v>
      </c>
      <c r="C32" s="15">
        <f>'Ficha 1'!T31</f>
        <v>0</v>
      </c>
      <c r="D32" s="15">
        <f>'Ficha 2'!Q31</f>
        <v>0</v>
      </c>
      <c r="E32" s="18">
        <f t="shared" si="0"/>
        <v>0</v>
      </c>
      <c r="F32" s="15">
        <f>'Teste 1'!R30</f>
        <v>0</v>
      </c>
      <c r="G32" s="15">
        <f>'Teste 2'!O30</f>
        <v>0</v>
      </c>
      <c r="H32" s="15">
        <f>'Teste 3'!O30</f>
        <v>0</v>
      </c>
      <c r="I32" s="18">
        <f t="shared" si="1"/>
        <v>0</v>
      </c>
      <c r="J32" s="19">
        <f>Presenças!AH32</f>
        <v>0</v>
      </c>
      <c r="K32" s="20">
        <f t="shared" si="2"/>
        <v>0</v>
      </c>
      <c r="L32" s="16"/>
      <c r="M32" s="16"/>
    </row>
    <row r="33" spans="1:13" x14ac:dyDescent="0.35">
      <c r="A33" s="17">
        <v>27</v>
      </c>
      <c r="B33" s="17" t="s">
        <v>70</v>
      </c>
      <c r="C33" s="15">
        <f>'Ficha 1'!T32</f>
        <v>0</v>
      </c>
      <c r="D33" s="15">
        <f>'Ficha 2'!Q32</f>
        <v>0</v>
      </c>
      <c r="E33" s="18">
        <f t="shared" si="0"/>
        <v>0</v>
      </c>
      <c r="F33" s="15">
        <f>'Teste 1'!R31</f>
        <v>0</v>
      </c>
      <c r="G33" s="15">
        <f>'Teste 2'!O31</f>
        <v>0</v>
      </c>
      <c r="H33" s="15">
        <f>'Teste 3'!O31</f>
        <v>0</v>
      </c>
      <c r="I33" s="18">
        <f t="shared" si="1"/>
        <v>0</v>
      </c>
      <c r="J33" s="19">
        <f>Presenças!AH33</f>
        <v>0</v>
      </c>
      <c r="K33" s="20">
        <f t="shared" si="2"/>
        <v>0</v>
      </c>
      <c r="L33" s="16"/>
      <c r="M33" s="15"/>
    </row>
    <row r="34" spans="1:13" x14ac:dyDescent="0.35">
      <c r="A34" s="17">
        <v>28</v>
      </c>
      <c r="B34" s="17" t="s">
        <v>71</v>
      </c>
      <c r="C34" s="15">
        <f>'Ficha 1'!T33</f>
        <v>0</v>
      </c>
      <c r="D34" s="15">
        <f>'Ficha 2'!Q33</f>
        <v>0</v>
      </c>
      <c r="E34" s="18">
        <f t="shared" si="0"/>
        <v>0</v>
      </c>
      <c r="F34" s="15">
        <f>'Teste 1'!R32</f>
        <v>0</v>
      </c>
      <c r="G34" s="15">
        <f>'Teste 2'!O32</f>
        <v>0</v>
      </c>
      <c r="H34" s="15">
        <f>'Teste 3'!O32</f>
        <v>0</v>
      </c>
      <c r="I34" s="18">
        <f t="shared" si="1"/>
        <v>0</v>
      </c>
      <c r="J34" s="19">
        <f>Presenças!AH34</f>
        <v>0</v>
      </c>
      <c r="K34" s="20">
        <f t="shared" si="2"/>
        <v>0</v>
      </c>
      <c r="L34" s="16"/>
      <c r="M34" s="15"/>
    </row>
    <row r="35" spans="1:13" x14ac:dyDescent="0.35">
      <c r="A35" s="17">
        <v>29</v>
      </c>
      <c r="B35" s="17" t="s">
        <v>72</v>
      </c>
      <c r="C35" s="15">
        <f>'Ficha 1'!T34</f>
        <v>0</v>
      </c>
      <c r="D35" s="15">
        <f>'Ficha 2'!Q34</f>
        <v>0</v>
      </c>
      <c r="E35" s="18">
        <f t="shared" si="0"/>
        <v>0</v>
      </c>
      <c r="F35" s="15">
        <f>'Teste 1'!R33</f>
        <v>0</v>
      </c>
      <c r="G35" s="15">
        <f>'Teste 2'!O33</f>
        <v>0</v>
      </c>
      <c r="H35" s="15">
        <f>'Teste 3'!O33</f>
        <v>0</v>
      </c>
      <c r="I35" s="18">
        <f t="shared" si="1"/>
        <v>0</v>
      </c>
      <c r="J35" s="19">
        <f>Presenças!AH35</f>
        <v>0</v>
      </c>
      <c r="K35" s="20">
        <f t="shared" si="2"/>
        <v>0</v>
      </c>
      <c r="L35" s="16"/>
      <c r="M35" s="16"/>
    </row>
    <row r="36" spans="1:13" x14ac:dyDescent="0.35">
      <c r="A36" s="17">
        <v>30</v>
      </c>
      <c r="B36" s="17" t="s">
        <v>73</v>
      </c>
      <c r="C36" s="15">
        <f>'Ficha 1'!T35</f>
        <v>0</v>
      </c>
      <c r="D36" s="15">
        <f>'Ficha 2'!Q35</f>
        <v>0</v>
      </c>
      <c r="E36" s="18">
        <f t="shared" si="0"/>
        <v>0</v>
      </c>
      <c r="F36" s="15">
        <f>'Teste 1'!R34</f>
        <v>0</v>
      </c>
      <c r="G36" s="15">
        <f>'Teste 2'!O34</f>
        <v>0</v>
      </c>
      <c r="H36" s="15">
        <f>'Teste 3'!O34</f>
        <v>0</v>
      </c>
      <c r="I36" s="18">
        <f t="shared" si="1"/>
        <v>0</v>
      </c>
      <c r="J36" s="19">
        <f>Presenças!AH36</f>
        <v>0</v>
      </c>
      <c r="K36" s="20">
        <f t="shared" si="2"/>
        <v>0</v>
      </c>
      <c r="L36" s="16"/>
      <c r="M36" s="15"/>
    </row>
    <row r="37" spans="1:13" x14ac:dyDescent="0.35">
      <c r="A37" s="17">
        <v>31</v>
      </c>
      <c r="B37" s="17" t="s">
        <v>74</v>
      </c>
      <c r="C37" s="15">
        <f>'Ficha 1'!T36</f>
        <v>0</v>
      </c>
      <c r="D37" s="15">
        <f>'Ficha 2'!Q36</f>
        <v>0</v>
      </c>
      <c r="E37" s="18">
        <f t="shared" si="0"/>
        <v>0</v>
      </c>
      <c r="F37" s="15">
        <f>'Teste 1'!R35</f>
        <v>0</v>
      </c>
      <c r="G37" s="15">
        <f>'Teste 2'!O35</f>
        <v>0</v>
      </c>
      <c r="H37" s="15">
        <f>'Teste 3'!O35</f>
        <v>0</v>
      </c>
      <c r="I37" s="18">
        <f t="shared" si="1"/>
        <v>0</v>
      </c>
      <c r="J37" s="19">
        <f>Presenças!AH37</f>
        <v>0</v>
      </c>
      <c r="K37" s="20">
        <f t="shared" si="2"/>
        <v>0</v>
      </c>
      <c r="L37" s="16"/>
      <c r="M37" s="16"/>
    </row>
    <row r="38" spans="1:13" x14ac:dyDescent="0.35">
      <c r="A38" s="17">
        <v>32</v>
      </c>
      <c r="B38" s="17" t="s">
        <v>75</v>
      </c>
      <c r="C38" s="15">
        <f>'Ficha 1'!T37</f>
        <v>0</v>
      </c>
      <c r="D38" s="15">
        <f>'Ficha 2'!Q37</f>
        <v>0</v>
      </c>
      <c r="E38" s="18">
        <f t="shared" si="0"/>
        <v>0</v>
      </c>
      <c r="F38" s="15">
        <f>'Teste 1'!R36</f>
        <v>0</v>
      </c>
      <c r="G38" s="15">
        <f>'Teste 2'!O36</f>
        <v>0</v>
      </c>
      <c r="H38" s="15">
        <f>'Teste 3'!O36</f>
        <v>0</v>
      </c>
      <c r="I38" s="18">
        <f t="shared" si="1"/>
        <v>0</v>
      </c>
      <c r="J38" s="19">
        <f>Presenças!AH38</f>
        <v>0</v>
      </c>
      <c r="K38" s="20">
        <f t="shared" si="2"/>
        <v>0</v>
      </c>
      <c r="L38" s="16"/>
      <c r="M38" s="16"/>
    </row>
    <row r="39" spans="1:13" x14ac:dyDescent="0.35">
      <c r="A39" s="21">
        <v>33</v>
      </c>
      <c r="B39" s="17" t="s">
        <v>76</v>
      </c>
      <c r="C39" s="15">
        <f>'Ficha 1'!T38</f>
        <v>0</v>
      </c>
      <c r="D39" s="15">
        <f>'Ficha 2'!Q38</f>
        <v>0</v>
      </c>
      <c r="E39" s="18">
        <f t="shared" si="0"/>
        <v>0</v>
      </c>
      <c r="F39" s="15">
        <f>'Teste 1'!R37</f>
        <v>0</v>
      </c>
      <c r="G39" s="15">
        <f>'Teste 2'!O37</f>
        <v>0</v>
      </c>
      <c r="H39" s="15">
        <f>'Teste 3'!O37</f>
        <v>0</v>
      </c>
      <c r="I39" s="18">
        <f t="shared" si="1"/>
        <v>0</v>
      </c>
      <c r="J39" s="19">
        <f>Presenças!AH39</f>
        <v>0</v>
      </c>
      <c r="K39" s="20">
        <f t="shared" si="2"/>
        <v>0</v>
      </c>
      <c r="L39" s="16"/>
      <c r="M39" s="16"/>
    </row>
    <row r="40" spans="1:13" x14ac:dyDescent="0.35">
      <c r="A40" s="17">
        <v>34</v>
      </c>
      <c r="B40" s="17" t="s">
        <v>77</v>
      </c>
      <c r="C40" s="15">
        <f>'Ficha 1'!T39</f>
        <v>0</v>
      </c>
      <c r="D40" s="15">
        <f>'Ficha 2'!Q39</f>
        <v>0</v>
      </c>
      <c r="E40" s="18">
        <f t="shared" si="0"/>
        <v>0</v>
      </c>
      <c r="F40" s="15">
        <f>'Teste 1'!R38</f>
        <v>0</v>
      </c>
      <c r="G40" s="15">
        <f>'Teste 2'!O38</f>
        <v>0</v>
      </c>
      <c r="H40" s="15">
        <f>'Teste 3'!O38</f>
        <v>0</v>
      </c>
      <c r="I40" s="18">
        <f t="shared" si="1"/>
        <v>0</v>
      </c>
      <c r="J40" s="19">
        <f>Presenças!AH40</f>
        <v>0</v>
      </c>
      <c r="K40" s="20">
        <f t="shared" si="2"/>
        <v>0</v>
      </c>
      <c r="L40" s="16"/>
      <c r="M40" s="16"/>
    </row>
    <row r="41" spans="1:13" x14ac:dyDescent="0.35">
      <c r="A41" s="21">
        <v>35</v>
      </c>
      <c r="B41" s="17" t="s">
        <v>78</v>
      </c>
      <c r="C41" s="15">
        <f>'Ficha 1'!T40</f>
        <v>0</v>
      </c>
      <c r="D41" s="15">
        <f>'Ficha 2'!Q40</f>
        <v>0</v>
      </c>
      <c r="E41" s="18">
        <f t="shared" si="0"/>
        <v>0</v>
      </c>
      <c r="F41" s="15">
        <f>'Teste 1'!R39</f>
        <v>0</v>
      </c>
      <c r="G41" s="15">
        <f>'Teste 2'!O39</f>
        <v>0</v>
      </c>
      <c r="H41" s="15">
        <f>'Teste 3'!O39</f>
        <v>0</v>
      </c>
      <c r="I41" s="18">
        <f t="shared" si="1"/>
        <v>0</v>
      </c>
      <c r="J41" s="19">
        <f>Presenças!AH41</f>
        <v>0</v>
      </c>
      <c r="K41" s="20">
        <f t="shared" si="2"/>
        <v>0</v>
      </c>
      <c r="L41" s="16"/>
      <c r="M41" s="16"/>
    </row>
    <row r="42" spans="1:13" x14ac:dyDescent="0.35">
      <c r="A42" s="17">
        <v>36</v>
      </c>
      <c r="B42" s="17" t="s">
        <v>79</v>
      </c>
      <c r="C42" s="15">
        <f>'Ficha 1'!T41</f>
        <v>0</v>
      </c>
      <c r="D42" s="15">
        <f>'Ficha 2'!Q41</f>
        <v>0</v>
      </c>
      <c r="E42" s="18">
        <f t="shared" si="0"/>
        <v>0</v>
      </c>
      <c r="F42" s="15">
        <f>'Teste 1'!R40</f>
        <v>0</v>
      </c>
      <c r="G42" s="15">
        <f>'Teste 2'!O40</f>
        <v>0</v>
      </c>
      <c r="H42" s="15">
        <f>'Teste 3'!O40</f>
        <v>0</v>
      </c>
      <c r="I42" s="18">
        <f t="shared" si="1"/>
        <v>0</v>
      </c>
      <c r="J42" s="19">
        <f>Presenças!AH42</f>
        <v>0</v>
      </c>
      <c r="K42" s="20">
        <f t="shared" si="2"/>
        <v>0</v>
      </c>
      <c r="L42" s="16"/>
      <c r="M42" s="16"/>
    </row>
    <row r="43" spans="1:13" x14ac:dyDescent="0.35">
      <c r="A43" s="17">
        <v>37</v>
      </c>
      <c r="B43" s="17" t="s">
        <v>80</v>
      </c>
      <c r="C43" s="15">
        <f>'Ficha 1'!T42</f>
        <v>0</v>
      </c>
      <c r="D43" s="15">
        <f>'Ficha 2'!Q42</f>
        <v>0</v>
      </c>
      <c r="E43" s="18">
        <f t="shared" si="0"/>
        <v>0</v>
      </c>
      <c r="F43" s="15">
        <f>'Teste 1'!R41</f>
        <v>0</v>
      </c>
      <c r="G43" s="15">
        <f>'Teste 2'!O41</f>
        <v>0</v>
      </c>
      <c r="H43" s="15">
        <f>'Teste 3'!O41</f>
        <v>0</v>
      </c>
      <c r="I43" s="18">
        <f t="shared" si="1"/>
        <v>0</v>
      </c>
      <c r="J43" s="19">
        <f>Presenças!AH43</f>
        <v>0</v>
      </c>
      <c r="K43" s="20">
        <f t="shared" si="2"/>
        <v>0</v>
      </c>
      <c r="L43" s="16"/>
      <c r="M43" s="16"/>
    </row>
    <row r="44" spans="1:13" x14ac:dyDescent="0.35">
      <c r="A44" s="17">
        <v>38</v>
      </c>
      <c r="B44" s="17" t="s">
        <v>81</v>
      </c>
      <c r="C44" s="15">
        <f>'Ficha 1'!T43</f>
        <v>0</v>
      </c>
      <c r="D44" s="15">
        <f>'Ficha 2'!Q43</f>
        <v>0</v>
      </c>
      <c r="E44" s="18">
        <f t="shared" si="0"/>
        <v>0</v>
      </c>
      <c r="F44" s="15">
        <f>'Teste 1'!R42</f>
        <v>0</v>
      </c>
      <c r="G44" s="15">
        <f>'Teste 2'!O42</f>
        <v>0</v>
      </c>
      <c r="H44" s="15">
        <f>'Teste 3'!O42</f>
        <v>0</v>
      </c>
      <c r="I44" s="18">
        <f t="shared" si="1"/>
        <v>0</v>
      </c>
      <c r="J44" s="19">
        <f>Presenças!AH44</f>
        <v>0</v>
      </c>
      <c r="K44" s="20">
        <f t="shared" si="2"/>
        <v>0</v>
      </c>
      <c r="L44" s="16"/>
      <c r="M44" s="16"/>
    </row>
    <row r="45" spans="1:13" x14ac:dyDescent="0.35">
      <c r="I45" s="2"/>
      <c r="K45" s="2"/>
    </row>
    <row r="46" spans="1:13" x14ac:dyDescent="0.35">
      <c r="I46" s="2"/>
      <c r="K46" s="2"/>
    </row>
    <row r="47" spans="1:13" x14ac:dyDescent="0.35">
      <c r="I47" s="2"/>
      <c r="K47" s="2"/>
    </row>
    <row r="48" spans="1:13" x14ac:dyDescent="0.35">
      <c r="I48" s="2"/>
      <c r="K48" s="2"/>
    </row>
    <row r="49" spans="9:11" x14ac:dyDescent="0.35">
      <c r="I49" s="2"/>
      <c r="K49" s="2"/>
    </row>
    <row r="50" spans="9:11" x14ac:dyDescent="0.35">
      <c r="I50" s="2"/>
      <c r="K50" s="2"/>
    </row>
    <row r="51" spans="9:11" x14ac:dyDescent="0.35">
      <c r="I51" s="2"/>
      <c r="K51" s="2"/>
    </row>
    <row r="52" spans="9:11" x14ac:dyDescent="0.35">
      <c r="I52" s="2"/>
      <c r="K52" s="2"/>
    </row>
    <row r="53" spans="9:11" x14ac:dyDescent="0.35">
      <c r="I53" s="2"/>
      <c r="K53" s="2"/>
    </row>
    <row r="54" spans="9:11" x14ac:dyDescent="0.35">
      <c r="I54" s="2"/>
      <c r="K54" s="2"/>
    </row>
    <row r="55" spans="9:11" x14ac:dyDescent="0.35">
      <c r="I55" s="2"/>
      <c r="K55" s="2"/>
    </row>
    <row r="56" spans="9:11" x14ac:dyDescent="0.35">
      <c r="I56" s="2"/>
      <c r="K56" s="2"/>
    </row>
    <row r="57" spans="9:11" x14ac:dyDescent="0.35">
      <c r="I57" s="2"/>
      <c r="K57" s="2"/>
    </row>
    <row r="58" spans="9:11" x14ac:dyDescent="0.35">
      <c r="I58" s="2"/>
      <c r="K58" s="2"/>
    </row>
    <row r="59" spans="9:11" x14ac:dyDescent="0.35">
      <c r="I59" s="2"/>
      <c r="K59" s="2"/>
    </row>
    <row r="60" spans="9:11" x14ac:dyDescent="0.35">
      <c r="I60" s="2"/>
      <c r="K60" s="2"/>
    </row>
    <row r="61" spans="9:11" x14ac:dyDescent="0.35">
      <c r="I61" s="2"/>
      <c r="K61" s="2"/>
    </row>
    <row r="62" spans="9:11" x14ac:dyDescent="0.35">
      <c r="I62" s="2"/>
      <c r="K62" s="2"/>
    </row>
    <row r="63" spans="9:11" x14ac:dyDescent="0.35">
      <c r="I63" s="2"/>
      <c r="K63" s="2"/>
    </row>
    <row r="64" spans="9:11" x14ac:dyDescent="0.35">
      <c r="I64" s="2"/>
      <c r="K64" s="2"/>
    </row>
    <row r="65" spans="9:11" x14ac:dyDescent="0.35">
      <c r="I65" s="2"/>
      <c r="K65" s="2"/>
    </row>
    <row r="66" spans="9:11" x14ac:dyDescent="0.35">
      <c r="I66" s="2"/>
      <c r="K66" s="2"/>
    </row>
    <row r="67" spans="9:11" x14ac:dyDescent="0.35">
      <c r="I67" s="2"/>
      <c r="K67" s="2"/>
    </row>
    <row r="68" spans="9:11" x14ac:dyDescent="0.35">
      <c r="I68" s="2"/>
      <c r="K68" s="2"/>
    </row>
    <row r="69" spans="9:11" x14ac:dyDescent="0.35">
      <c r="I69" s="2"/>
      <c r="K69" s="2"/>
    </row>
    <row r="70" spans="9:11" x14ac:dyDescent="0.35">
      <c r="I70" s="2"/>
      <c r="K70" s="2"/>
    </row>
    <row r="71" spans="9:11" x14ac:dyDescent="0.35">
      <c r="I71" s="2"/>
      <c r="K71" s="2"/>
    </row>
    <row r="72" spans="9:11" x14ac:dyDescent="0.35">
      <c r="I72" s="2"/>
      <c r="K72" s="2"/>
    </row>
    <row r="73" spans="9:11" x14ac:dyDescent="0.35">
      <c r="I73" s="2"/>
      <c r="K73" s="2"/>
    </row>
    <row r="74" spans="9:11" x14ac:dyDescent="0.35">
      <c r="I74" s="2"/>
      <c r="K74" s="2"/>
    </row>
    <row r="75" spans="9:11" x14ac:dyDescent="0.35">
      <c r="I75" s="2"/>
      <c r="K75" s="2"/>
    </row>
    <row r="76" spans="9:11" x14ac:dyDescent="0.35">
      <c r="I76" s="2"/>
      <c r="K76" s="2"/>
    </row>
    <row r="77" spans="9:11" x14ac:dyDescent="0.35">
      <c r="I77" s="2"/>
      <c r="K77" s="2"/>
    </row>
    <row r="78" spans="9:11" x14ac:dyDescent="0.35">
      <c r="I78" s="2"/>
      <c r="K78" s="2"/>
    </row>
    <row r="79" spans="9:11" x14ac:dyDescent="0.35">
      <c r="I79" s="2"/>
      <c r="K79" s="2"/>
    </row>
    <row r="80" spans="9:11" x14ac:dyDescent="0.35">
      <c r="I80" s="2"/>
      <c r="K80" s="2"/>
    </row>
    <row r="81" spans="9:11" x14ac:dyDescent="0.35">
      <c r="I81" s="2"/>
      <c r="K81" s="2"/>
    </row>
    <row r="82" spans="9:11" x14ac:dyDescent="0.35">
      <c r="I82" s="2"/>
      <c r="K82" s="2"/>
    </row>
    <row r="83" spans="9:11" x14ac:dyDescent="0.35">
      <c r="I83" s="2"/>
      <c r="K83" s="2"/>
    </row>
    <row r="84" spans="9:11" x14ac:dyDescent="0.35">
      <c r="I84" s="2"/>
      <c r="K84" s="2"/>
    </row>
    <row r="85" spans="9:11" x14ac:dyDescent="0.35">
      <c r="I85" s="2"/>
      <c r="K85" s="2"/>
    </row>
    <row r="86" spans="9:11" x14ac:dyDescent="0.35">
      <c r="I86" s="2"/>
      <c r="K86" s="2"/>
    </row>
    <row r="87" spans="9:11" x14ac:dyDescent="0.35">
      <c r="I87" s="2"/>
      <c r="K87" s="2"/>
    </row>
    <row r="88" spans="9:11" x14ac:dyDescent="0.35">
      <c r="I88" s="2"/>
      <c r="K88" s="2"/>
    </row>
    <row r="89" spans="9:11" x14ac:dyDescent="0.35">
      <c r="I89" s="2"/>
      <c r="K89" s="2"/>
    </row>
    <row r="90" spans="9:11" x14ac:dyDescent="0.35">
      <c r="I90" s="2"/>
      <c r="K90" s="2"/>
    </row>
    <row r="91" spans="9:11" x14ac:dyDescent="0.35">
      <c r="I91" s="2"/>
      <c r="K91" s="2"/>
    </row>
    <row r="92" spans="9:11" x14ac:dyDescent="0.35">
      <c r="I92" s="2"/>
      <c r="K92" s="2"/>
    </row>
    <row r="93" spans="9:11" x14ac:dyDescent="0.35">
      <c r="I93" s="2"/>
      <c r="K93" s="2"/>
    </row>
    <row r="94" spans="9:11" x14ac:dyDescent="0.35">
      <c r="I94" s="2"/>
      <c r="K94" s="2"/>
    </row>
    <row r="95" spans="9:11" x14ac:dyDescent="0.35">
      <c r="I95" s="2"/>
      <c r="K95" s="2"/>
    </row>
    <row r="96" spans="9:11" x14ac:dyDescent="0.35">
      <c r="I96" s="2"/>
      <c r="K96" s="2"/>
    </row>
    <row r="97" spans="9:11" x14ac:dyDescent="0.35">
      <c r="I97" s="2"/>
      <c r="K97" s="2"/>
    </row>
    <row r="98" spans="9:11" x14ac:dyDescent="0.35">
      <c r="I98" s="2"/>
      <c r="K98" s="2"/>
    </row>
    <row r="99" spans="9:11" x14ac:dyDescent="0.35">
      <c r="I99" s="2"/>
      <c r="K99" s="2"/>
    </row>
    <row r="100" spans="9:11" x14ac:dyDescent="0.35">
      <c r="I100" s="2"/>
      <c r="K100" s="2"/>
    </row>
    <row r="101" spans="9:11" x14ac:dyDescent="0.35">
      <c r="I101" s="2"/>
      <c r="K101" s="2"/>
    </row>
    <row r="102" spans="9:11" x14ac:dyDescent="0.35">
      <c r="I102" s="2"/>
      <c r="K102" s="2"/>
    </row>
    <row r="103" spans="9:11" x14ac:dyDescent="0.35">
      <c r="I103" s="2"/>
      <c r="K103" s="2"/>
    </row>
    <row r="104" spans="9:11" x14ac:dyDescent="0.35">
      <c r="I104" s="2"/>
      <c r="K104" s="2"/>
    </row>
    <row r="105" spans="9:11" x14ac:dyDescent="0.35">
      <c r="I105" s="2"/>
      <c r="K105" s="2"/>
    </row>
    <row r="106" spans="9:11" x14ac:dyDescent="0.35">
      <c r="I106" s="2"/>
      <c r="K106" s="2"/>
    </row>
    <row r="107" spans="9:11" x14ac:dyDescent="0.35">
      <c r="I107" s="2"/>
      <c r="K107" s="2"/>
    </row>
    <row r="108" spans="9:11" x14ac:dyDescent="0.35">
      <c r="I108" s="2"/>
      <c r="K108" s="2"/>
    </row>
    <row r="109" spans="9:11" x14ac:dyDescent="0.35">
      <c r="I109" s="2"/>
      <c r="K109" s="2"/>
    </row>
    <row r="110" spans="9:11" x14ac:dyDescent="0.35">
      <c r="I110" s="2"/>
      <c r="K110" s="2"/>
    </row>
    <row r="111" spans="9:11" x14ac:dyDescent="0.35">
      <c r="I111" s="2"/>
      <c r="K111" s="2"/>
    </row>
    <row r="112" spans="9:11" x14ac:dyDescent="0.35">
      <c r="I112" s="2"/>
      <c r="K112" s="2"/>
    </row>
    <row r="113" spans="9:11" x14ac:dyDescent="0.35">
      <c r="I113" s="2"/>
      <c r="K113" s="2"/>
    </row>
    <row r="114" spans="9:11" x14ac:dyDescent="0.35">
      <c r="I114" s="2"/>
      <c r="K114" s="2"/>
    </row>
    <row r="115" spans="9:11" x14ac:dyDescent="0.35">
      <c r="I115" s="2"/>
      <c r="K115" s="2"/>
    </row>
    <row r="116" spans="9:11" x14ac:dyDescent="0.35">
      <c r="I116" s="2"/>
      <c r="K116" s="2"/>
    </row>
    <row r="117" spans="9:11" x14ac:dyDescent="0.35">
      <c r="I117" s="2"/>
      <c r="K117" s="2"/>
    </row>
    <row r="118" spans="9:11" x14ac:dyDescent="0.35">
      <c r="I118" s="2"/>
      <c r="K118" s="2"/>
    </row>
    <row r="119" spans="9:11" x14ac:dyDescent="0.35">
      <c r="I119" s="2"/>
      <c r="K119" s="2"/>
    </row>
    <row r="120" spans="9:11" x14ac:dyDescent="0.35">
      <c r="I120" s="2"/>
      <c r="K120" s="2"/>
    </row>
    <row r="121" spans="9:11" x14ac:dyDescent="0.35">
      <c r="I121" s="2"/>
      <c r="K121" s="2"/>
    </row>
    <row r="122" spans="9:11" x14ac:dyDescent="0.35">
      <c r="I122" s="2"/>
      <c r="K122" s="2"/>
    </row>
    <row r="123" spans="9:11" x14ac:dyDescent="0.35">
      <c r="I123" s="2"/>
      <c r="K123" s="2"/>
    </row>
    <row r="124" spans="9:11" x14ac:dyDescent="0.35">
      <c r="I124" s="2"/>
      <c r="K124" s="2"/>
    </row>
    <row r="125" spans="9:11" x14ac:dyDescent="0.35">
      <c r="I125" s="2"/>
      <c r="K125" s="2"/>
    </row>
    <row r="126" spans="9:11" x14ac:dyDescent="0.35">
      <c r="I126" s="2"/>
      <c r="K126" s="2"/>
    </row>
    <row r="127" spans="9:11" x14ac:dyDescent="0.35">
      <c r="I127" s="2"/>
      <c r="K127" s="2"/>
    </row>
    <row r="128" spans="9:11" x14ac:dyDescent="0.35">
      <c r="I128" s="2"/>
      <c r="K128" s="2"/>
    </row>
    <row r="129" spans="9:11" x14ac:dyDescent="0.35">
      <c r="I129" s="2"/>
      <c r="K129" s="2"/>
    </row>
    <row r="130" spans="9:11" x14ac:dyDescent="0.35">
      <c r="I130" s="2"/>
      <c r="K130" s="2"/>
    </row>
    <row r="131" spans="9:11" x14ac:dyDescent="0.35">
      <c r="I131" s="2"/>
      <c r="K131" s="2"/>
    </row>
    <row r="132" spans="9:11" x14ac:dyDescent="0.35">
      <c r="I132" s="2"/>
      <c r="K132" s="2"/>
    </row>
    <row r="133" spans="9:11" x14ac:dyDescent="0.35">
      <c r="I133" s="2"/>
      <c r="K133" s="2"/>
    </row>
    <row r="134" spans="9:11" x14ac:dyDescent="0.35">
      <c r="I134" s="2"/>
      <c r="K134" s="2"/>
    </row>
    <row r="135" spans="9:11" x14ac:dyDescent="0.35">
      <c r="I135" s="2"/>
      <c r="K135" s="2"/>
    </row>
    <row r="136" spans="9:11" x14ac:dyDescent="0.35">
      <c r="I136" s="2"/>
      <c r="K136" s="2"/>
    </row>
    <row r="137" spans="9:11" x14ac:dyDescent="0.35">
      <c r="I137" s="2"/>
      <c r="K137" s="2"/>
    </row>
    <row r="138" spans="9:11" x14ac:dyDescent="0.35">
      <c r="I138" s="2"/>
      <c r="K138" s="2"/>
    </row>
    <row r="139" spans="9:11" x14ac:dyDescent="0.35">
      <c r="I139" s="2"/>
      <c r="K139" s="2"/>
    </row>
    <row r="140" spans="9:11" x14ac:dyDescent="0.35">
      <c r="I140" s="2"/>
      <c r="K140" s="2"/>
    </row>
    <row r="141" spans="9:11" x14ac:dyDescent="0.35">
      <c r="I141" s="2"/>
      <c r="K141" s="2"/>
    </row>
    <row r="142" spans="9:11" x14ac:dyDescent="0.35">
      <c r="I142" s="2"/>
      <c r="K142" s="2"/>
    </row>
    <row r="143" spans="9:11" x14ac:dyDescent="0.35">
      <c r="I143" s="2"/>
      <c r="K143" s="2"/>
    </row>
    <row r="144" spans="9:11" x14ac:dyDescent="0.35">
      <c r="I144" s="2"/>
      <c r="K144" s="2"/>
    </row>
    <row r="145" spans="9:11" x14ac:dyDescent="0.35">
      <c r="I145" s="2"/>
      <c r="K145" s="2"/>
    </row>
    <row r="146" spans="9:11" x14ac:dyDescent="0.35">
      <c r="I146" s="2"/>
      <c r="K146" s="2"/>
    </row>
    <row r="147" spans="9:11" x14ac:dyDescent="0.35">
      <c r="I147" s="2"/>
      <c r="K147" s="2"/>
    </row>
    <row r="148" spans="9:11" x14ac:dyDescent="0.35">
      <c r="I148" s="2"/>
      <c r="K148" s="2"/>
    </row>
    <row r="149" spans="9:11" x14ac:dyDescent="0.35">
      <c r="I149" s="2"/>
      <c r="K149" s="2"/>
    </row>
    <row r="150" spans="9:11" x14ac:dyDescent="0.35">
      <c r="I150" s="2"/>
      <c r="K150" s="2"/>
    </row>
    <row r="151" spans="9:11" x14ac:dyDescent="0.35">
      <c r="I151" s="2"/>
      <c r="K151" s="2"/>
    </row>
    <row r="152" spans="9:11" x14ac:dyDescent="0.35">
      <c r="I152" s="2"/>
      <c r="K152" s="2"/>
    </row>
    <row r="153" spans="9:11" x14ac:dyDescent="0.35">
      <c r="I153" s="2"/>
      <c r="K153" s="2"/>
    </row>
    <row r="154" spans="9:11" x14ac:dyDescent="0.35">
      <c r="I154" s="2"/>
      <c r="K154" s="2"/>
    </row>
    <row r="155" spans="9:11" x14ac:dyDescent="0.35">
      <c r="I155" s="2"/>
      <c r="K155" s="2"/>
    </row>
    <row r="156" spans="9:11" x14ac:dyDescent="0.35">
      <c r="I156" s="2"/>
      <c r="K156" s="2"/>
    </row>
    <row r="157" spans="9:11" x14ac:dyDescent="0.35">
      <c r="I157" s="2"/>
      <c r="K157" s="2"/>
    </row>
    <row r="158" spans="9:11" x14ac:dyDescent="0.35">
      <c r="I158" s="2"/>
      <c r="K158" s="2"/>
    </row>
    <row r="159" spans="9:11" x14ac:dyDescent="0.35">
      <c r="I159" s="2"/>
      <c r="K159" s="2"/>
    </row>
    <row r="160" spans="9:11" x14ac:dyDescent="0.35">
      <c r="I160" s="2"/>
      <c r="K160" s="2"/>
    </row>
    <row r="161" spans="9:11" x14ac:dyDescent="0.35">
      <c r="I161" s="2"/>
      <c r="K161" s="2"/>
    </row>
    <row r="162" spans="9:11" x14ac:dyDescent="0.35">
      <c r="I162" s="2"/>
      <c r="K162" s="2"/>
    </row>
    <row r="163" spans="9:11" x14ac:dyDescent="0.35">
      <c r="I163" s="2"/>
      <c r="K163" s="2"/>
    </row>
    <row r="164" spans="9:11" x14ac:dyDescent="0.35">
      <c r="I164" s="2"/>
      <c r="K164" s="2"/>
    </row>
    <row r="165" spans="9:11" x14ac:dyDescent="0.35">
      <c r="I165" s="2"/>
      <c r="K165" s="2"/>
    </row>
    <row r="166" spans="9:11" x14ac:dyDescent="0.35">
      <c r="I166" s="2"/>
      <c r="K166" s="2"/>
    </row>
    <row r="167" spans="9:11" x14ac:dyDescent="0.35">
      <c r="I167" s="2"/>
      <c r="K167" s="2"/>
    </row>
    <row r="168" spans="9:11" x14ac:dyDescent="0.35">
      <c r="I168" s="2"/>
      <c r="K168" s="2"/>
    </row>
    <row r="169" spans="9:11" x14ac:dyDescent="0.35">
      <c r="I169" s="2"/>
      <c r="K169" s="2"/>
    </row>
    <row r="170" spans="9:11" x14ac:dyDescent="0.35">
      <c r="I170" s="2"/>
      <c r="K170" s="2"/>
    </row>
    <row r="171" spans="9:11" x14ac:dyDescent="0.35">
      <c r="I171" s="2"/>
      <c r="K171" s="2"/>
    </row>
    <row r="172" spans="9:11" x14ac:dyDescent="0.35">
      <c r="I172" s="2"/>
      <c r="K172" s="2"/>
    </row>
    <row r="173" spans="9:11" x14ac:dyDescent="0.35">
      <c r="I173" s="2"/>
      <c r="K173" s="2"/>
    </row>
    <row r="174" spans="9:11" x14ac:dyDescent="0.35">
      <c r="I174" s="2"/>
      <c r="K174" s="2"/>
    </row>
    <row r="175" spans="9:11" x14ac:dyDescent="0.35">
      <c r="I175" s="2"/>
      <c r="K175" s="2"/>
    </row>
    <row r="176" spans="9:11" x14ac:dyDescent="0.35">
      <c r="I176" s="2"/>
      <c r="K176" s="2"/>
    </row>
    <row r="177" spans="9:11" x14ac:dyDescent="0.35">
      <c r="I177" s="2"/>
      <c r="K177" s="2"/>
    </row>
    <row r="178" spans="9:11" x14ac:dyDescent="0.35">
      <c r="I178" s="2"/>
      <c r="K178" s="2"/>
    </row>
    <row r="179" spans="9:11" x14ac:dyDescent="0.35">
      <c r="I179" s="2"/>
      <c r="K179" s="2"/>
    </row>
    <row r="180" spans="9:11" x14ac:dyDescent="0.35">
      <c r="I180" s="2"/>
      <c r="K180" s="2"/>
    </row>
    <row r="181" spans="9:11" x14ac:dyDescent="0.35">
      <c r="I181" s="2"/>
      <c r="K181" s="2"/>
    </row>
    <row r="182" spans="9:11" x14ac:dyDescent="0.35">
      <c r="I182" s="2"/>
      <c r="K182" s="2"/>
    </row>
    <row r="183" spans="9:11" x14ac:dyDescent="0.35">
      <c r="I183" s="2"/>
      <c r="K183" s="2"/>
    </row>
    <row r="184" spans="9:11" x14ac:dyDescent="0.35">
      <c r="I184" s="2"/>
      <c r="K184" s="2"/>
    </row>
    <row r="185" spans="9:11" x14ac:dyDescent="0.35">
      <c r="I185" s="2"/>
      <c r="K185" s="2"/>
    </row>
    <row r="186" spans="9:11" x14ac:dyDescent="0.35">
      <c r="I186" s="2"/>
      <c r="K186" s="2"/>
    </row>
    <row r="187" spans="9:11" x14ac:dyDescent="0.35">
      <c r="I187" s="2"/>
      <c r="K187" s="2"/>
    </row>
    <row r="188" spans="9:11" x14ac:dyDescent="0.35">
      <c r="I188" s="2"/>
      <c r="K188" s="2"/>
    </row>
    <row r="189" spans="9:11" x14ac:dyDescent="0.35">
      <c r="I189" s="2"/>
      <c r="K189" s="2"/>
    </row>
    <row r="190" spans="9:11" x14ac:dyDescent="0.35">
      <c r="I190" s="2"/>
      <c r="K190" s="2"/>
    </row>
    <row r="191" spans="9:11" x14ac:dyDescent="0.35">
      <c r="I191" s="2"/>
      <c r="K191" s="2"/>
    </row>
    <row r="192" spans="9:11" x14ac:dyDescent="0.35">
      <c r="I192" s="2"/>
      <c r="K192" s="2"/>
    </row>
    <row r="193" spans="9:11" x14ac:dyDescent="0.35">
      <c r="I193" s="2"/>
      <c r="K193" s="2"/>
    </row>
    <row r="194" spans="9:11" x14ac:dyDescent="0.35">
      <c r="I194" s="2"/>
      <c r="K194" s="2"/>
    </row>
    <row r="195" spans="9:11" x14ac:dyDescent="0.35">
      <c r="I195" s="2"/>
      <c r="K195" s="2"/>
    </row>
    <row r="196" spans="9:11" x14ac:dyDescent="0.35">
      <c r="I196" s="2"/>
      <c r="K196" s="2"/>
    </row>
    <row r="197" spans="9:11" x14ac:dyDescent="0.35">
      <c r="I197" s="2"/>
      <c r="K197" s="2"/>
    </row>
    <row r="198" spans="9:11" x14ac:dyDescent="0.35">
      <c r="I198" s="2"/>
      <c r="K198" s="2"/>
    </row>
    <row r="199" spans="9:11" x14ac:dyDescent="0.35">
      <c r="I199" s="2"/>
      <c r="K199" s="2"/>
    </row>
    <row r="200" spans="9:11" x14ac:dyDescent="0.35">
      <c r="I200" s="2"/>
      <c r="K200" s="2"/>
    </row>
    <row r="201" spans="9:11" x14ac:dyDescent="0.35">
      <c r="I201" s="2"/>
      <c r="K201" s="2"/>
    </row>
    <row r="202" spans="9:11" x14ac:dyDescent="0.35">
      <c r="I202" s="2"/>
      <c r="K202" s="2"/>
    </row>
    <row r="203" spans="9:11" x14ac:dyDescent="0.35">
      <c r="I203" s="2"/>
      <c r="K203" s="2"/>
    </row>
    <row r="204" spans="9:11" x14ac:dyDescent="0.35">
      <c r="I204" s="2"/>
      <c r="K204" s="2"/>
    </row>
    <row r="205" spans="9:11" x14ac:dyDescent="0.35">
      <c r="I205" s="2"/>
      <c r="K205" s="2"/>
    </row>
    <row r="206" spans="9:11" x14ac:dyDescent="0.35">
      <c r="I206" s="2"/>
      <c r="K206" s="2"/>
    </row>
    <row r="207" spans="9:11" x14ac:dyDescent="0.35">
      <c r="I207" s="2"/>
      <c r="K207" s="2"/>
    </row>
    <row r="208" spans="9:11" x14ac:dyDescent="0.35">
      <c r="I208" s="2"/>
      <c r="K208" s="2"/>
    </row>
    <row r="209" spans="9:11" x14ac:dyDescent="0.35">
      <c r="I209" s="2"/>
      <c r="K209" s="2"/>
    </row>
    <row r="210" spans="9:11" x14ac:dyDescent="0.35">
      <c r="I210" s="2"/>
      <c r="K210" s="2"/>
    </row>
    <row r="211" spans="9:11" x14ac:dyDescent="0.35">
      <c r="I211" s="2"/>
      <c r="K211" s="2"/>
    </row>
    <row r="212" spans="9:11" x14ac:dyDescent="0.35">
      <c r="I212" s="2"/>
      <c r="K212" s="2"/>
    </row>
    <row r="213" spans="9:11" x14ac:dyDescent="0.35">
      <c r="I213" s="2"/>
      <c r="K213" s="2"/>
    </row>
    <row r="214" spans="9:11" x14ac:dyDescent="0.35">
      <c r="I214" s="2"/>
      <c r="K214" s="2"/>
    </row>
    <row r="215" spans="9:11" x14ac:dyDescent="0.35">
      <c r="I215" s="2"/>
      <c r="K215" s="2"/>
    </row>
    <row r="216" spans="9:11" x14ac:dyDescent="0.35">
      <c r="I216" s="2"/>
      <c r="K216" s="2"/>
    </row>
    <row r="217" spans="9:11" x14ac:dyDescent="0.35">
      <c r="I217" s="2"/>
      <c r="K217" s="2"/>
    </row>
    <row r="218" spans="9:11" x14ac:dyDescent="0.35">
      <c r="I218" s="2"/>
      <c r="K218" s="2"/>
    </row>
    <row r="219" spans="9:11" x14ac:dyDescent="0.35">
      <c r="I219" s="2"/>
      <c r="K219" s="2"/>
    </row>
    <row r="220" spans="9:11" x14ac:dyDescent="0.35">
      <c r="I220" s="2"/>
      <c r="K220" s="2"/>
    </row>
    <row r="221" spans="9:11" x14ac:dyDescent="0.35">
      <c r="I221" s="2"/>
      <c r="K221" s="2"/>
    </row>
    <row r="222" spans="9:11" x14ac:dyDescent="0.35">
      <c r="I222" s="2"/>
      <c r="K222" s="2"/>
    </row>
    <row r="223" spans="9:11" x14ac:dyDescent="0.35">
      <c r="I223" s="2"/>
      <c r="K223" s="2"/>
    </row>
    <row r="224" spans="9:11" x14ac:dyDescent="0.35">
      <c r="I224" s="2"/>
      <c r="K224" s="2"/>
    </row>
    <row r="225" spans="9:11" x14ac:dyDescent="0.35">
      <c r="I225" s="2"/>
      <c r="K225" s="2"/>
    </row>
    <row r="226" spans="9:11" x14ac:dyDescent="0.35">
      <c r="I226" s="2"/>
      <c r="K226" s="2"/>
    </row>
    <row r="227" spans="9:11" x14ac:dyDescent="0.35">
      <c r="I227" s="2"/>
      <c r="K227" s="2"/>
    </row>
    <row r="228" spans="9:11" x14ac:dyDescent="0.35">
      <c r="I228" s="2"/>
      <c r="K228" s="2"/>
    </row>
    <row r="229" spans="9:11" x14ac:dyDescent="0.35">
      <c r="I229" s="2"/>
      <c r="K229" s="2"/>
    </row>
    <row r="230" spans="9:11" x14ac:dyDescent="0.35">
      <c r="I230" s="2"/>
      <c r="K230" s="2"/>
    </row>
    <row r="231" spans="9:11" x14ac:dyDescent="0.35">
      <c r="I231" s="2"/>
      <c r="K231" s="2"/>
    </row>
    <row r="232" spans="9:11" x14ac:dyDescent="0.35">
      <c r="I232" s="2"/>
      <c r="K232" s="2"/>
    </row>
    <row r="233" spans="9:11" x14ac:dyDescent="0.35">
      <c r="I233" s="2"/>
      <c r="K233" s="2"/>
    </row>
    <row r="234" spans="9:11" x14ac:dyDescent="0.35">
      <c r="I234" s="2"/>
      <c r="K234" s="2"/>
    </row>
    <row r="235" spans="9:11" x14ac:dyDescent="0.35">
      <c r="I235" s="2"/>
      <c r="K235" s="2"/>
    </row>
    <row r="236" spans="9:11" x14ac:dyDescent="0.35">
      <c r="I236" s="2"/>
      <c r="K236" s="2"/>
    </row>
    <row r="237" spans="9:11" x14ac:dyDescent="0.35">
      <c r="I237" s="2"/>
      <c r="K237" s="2"/>
    </row>
    <row r="238" spans="9:11" x14ac:dyDescent="0.35">
      <c r="I238" s="2"/>
      <c r="K238" s="2"/>
    </row>
    <row r="239" spans="9:11" x14ac:dyDescent="0.35">
      <c r="I239" s="2"/>
      <c r="K239" s="2"/>
    </row>
    <row r="240" spans="9:11" x14ac:dyDescent="0.35">
      <c r="I240" s="2"/>
      <c r="K240" s="2"/>
    </row>
    <row r="241" spans="9:11" x14ac:dyDescent="0.35">
      <c r="I241" s="2"/>
      <c r="K241" s="2"/>
    </row>
    <row r="242" spans="9:11" x14ac:dyDescent="0.35">
      <c r="I242" s="2"/>
      <c r="K242" s="2"/>
    </row>
    <row r="243" spans="9:11" x14ac:dyDescent="0.35">
      <c r="I243" s="2"/>
      <c r="K243" s="2"/>
    </row>
    <row r="244" spans="9:11" x14ac:dyDescent="0.35">
      <c r="I244" s="2"/>
      <c r="K244" s="2"/>
    </row>
    <row r="245" spans="9:11" x14ac:dyDescent="0.35">
      <c r="I245" s="2"/>
      <c r="K245" s="2"/>
    </row>
    <row r="246" spans="9:11" x14ac:dyDescent="0.35">
      <c r="I246" s="2"/>
      <c r="K246" s="2"/>
    </row>
    <row r="247" spans="9:11" x14ac:dyDescent="0.35">
      <c r="I247" s="2"/>
      <c r="K247" s="2"/>
    </row>
    <row r="248" spans="9:11" x14ac:dyDescent="0.35">
      <c r="I248" s="2"/>
      <c r="K248" s="2"/>
    </row>
    <row r="249" spans="9:11" x14ac:dyDescent="0.35">
      <c r="I249" s="2"/>
      <c r="K249" s="2"/>
    </row>
    <row r="250" spans="9:11" x14ac:dyDescent="0.35">
      <c r="I250" s="2"/>
      <c r="K250" s="2"/>
    </row>
    <row r="251" spans="9:11" x14ac:dyDescent="0.35">
      <c r="I251" s="2"/>
      <c r="K251" s="2"/>
    </row>
    <row r="252" spans="9:11" x14ac:dyDescent="0.35">
      <c r="I252" s="2"/>
      <c r="K252" s="2"/>
    </row>
    <row r="253" spans="9:11" x14ac:dyDescent="0.35">
      <c r="I253" s="2"/>
      <c r="K253" s="2"/>
    </row>
    <row r="254" spans="9:11" x14ac:dyDescent="0.35">
      <c r="I254" s="2"/>
      <c r="K254" s="2"/>
    </row>
    <row r="255" spans="9:11" x14ac:dyDescent="0.35">
      <c r="I255" s="2"/>
      <c r="K255" s="2"/>
    </row>
    <row r="256" spans="9:11" x14ac:dyDescent="0.35">
      <c r="I256" s="2"/>
      <c r="K256" s="2"/>
    </row>
    <row r="257" spans="9:11" x14ac:dyDescent="0.35">
      <c r="I257" s="2"/>
      <c r="K257" s="2"/>
    </row>
    <row r="258" spans="9:11" x14ac:dyDescent="0.35">
      <c r="I258" s="2"/>
      <c r="K258" s="2"/>
    </row>
    <row r="259" spans="9:11" x14ac:dyDescent="0.35">
      <c r="I259" s="2"/>
      <c r="K259" s="2"/>
    </row>
    <row r="260" spans="9:11" x14ac:dyDescent="0.35">
      <c r="I260" s="2"/>
      <c r="K260" s="2"/>
    </row>
    <row r="261" spans="9:11" x14ac:dyDescent="0.35">
      <c r="I261" s="2"/>
      <c r="K261" s="2"/>
    </row>
    <row r="262" spans="9:11" x14ac:dyDescent="0.35">
      <c r="I262" s="2"/>
      <c r="K262" s="2"/>
    </row>
    <row r="263" spans="9:11" x14ac:dyDescent="0.35">
      <c r="I263" s="2"/>
      <c r="K263" s="2"/>
    </row>
    <row r="264" spans="9:11" x14ac:dyDescent="0.35">
      <c r="I264" s="2"/>
      <c r="K264" s="2"/>
    </row>
    <row r="265" spans="9:11" x14ac:dyDescent="0.35">
      <c r="I265" s="2"/>
      <c r="K265" s="2"/>
    </row>
    <row r="266" spans="9:11" x14ac:dyDescent="0.35">
      <c r="I266" s="2"/>
      <c r="K266" s="2"/>
    </row>
    <row r="267" spans="9:11" x14ac:dyDescent="0.35">
      <c r="I267" s="2"/>
      <c r="K267" s="2"/>
    </row>
    <row r="268" spans="9:11" x14ac:dyDescent="0.35">
      <c r="I268" s="2"/>
      <c r="K268" s="2"/>
    </row>
    <row r="269" spans="9:11" x14ac:dyDescent="0.35">
      <c r="I269" s="2"/>
      <c r="K269" s="2"/>
    </row>
    <row r="270" spans="9:11" x14ac:dyDescent="0.35">
      <c r="I270" s="2"/>
      <c r="K270" s="2"/>
    </row>
    <row r="271" spans="9:11" x14ac:dyDescent="0.35">
      <c r="I271" s="2"/>
      <c r="K271" s="2"/>
    </row>
    <row r="272" spans="9:11" x14ac:dyDescent="0.35">
      <c r="I272" s="2"/>
      <c r="K272" s="2"/>
    </row>
    <row r="273" spans="9:11" x14ac:dyDescent="0.35">
      <c r="I273" s="2"/>
      <c r="K273" s="2"/>
    </row>
    <row r="274" spans="9:11" x14ac:dyDescent="0.35">
      <c r="I274" s="2"/>
      <c r="K274" s="2"/>
    </row>
    <row r="275" spans="9:11" x14ac:dyDescent="0.35">
      <c r="I275" s="2"/>
      <c r="K275" s="2"/>
    </row>
    <row r="276" spans="9:11" x14ac:dyDescent="0.35">
      <c r="I276" s="2"/>
      <c r="K276" s="2"/>
    </row>
    <row r="277" spans="9:11" x14ac:dyDescent="0.35">
      <c r="I277" s="2"/>
      <c r="K277" s="2"/>
    </row>
    <row r="278" spans="9:11" x14ac:dyDescent="0.35">
      <c r="I278" s="2"/>
      <c r="K278" s="2"/>
    </row>
    <row r="279" spans="9:11" x14ac:dyDescent="0.35">
      <c r="I279" s="2"/>
      <c r="K279" s="2"/>
    </row>
    <row r="280" spans="9:11" x14ac:dyDescent="0.35">
      <c r="I280" s="2"/>
      <c r="K280" s="2"/>
    </row>
    <row r="281" spans="9:11" x14ac:dyDescent="0.35">
      <c r="I281" s="2"/>
      <c r="K281" s="2"/>
    </row>
    <row r="282" spans="9:11" x14ac:dyDescent="0.35">
      <c r="I282" s="2"/>
      <c r="K282" s="2"/>
    </row>
    <row r="283" spans="9:11" x14ac:dyDescent="0.35">
      <c r="I283" s="2"/>
      <c r="K283" s="2"/>
    </row>
    <row r="284" spans="9:11" x14ac:dyDescent="0.35">
      <c r="I284" s="2"/>
      <c r="K284" s="2"/>
    </row>
    <row r="285" spans="9:11" x14ac:dyDescent="0.35">
      <c r="I285" s="2"/>
      <c r="K285" s="2"/>
    </row>
    <row r="286" spans="9:11" x14ac:dyDescent="0.35">
      <c r="I286" s="2"/>
      <c r="K286" s="2"/>
    </row>
    <row r="287" spans="9:11" x14ac:dyDescent="0.35">
      <c r="I287" s="2"/>
      <c r="K287" s="2"/>
    </row>
    <row r="288" spans="9:11" x14ac:dyDescent="0.35">
      <c r="I288" s="2"/>
      <c r="K288" s="2"/>
    </row>
    <row r="289" spans="9:11" x14ac:dyDescent="0.35">
      <c r="I289" s="2"/>
      <c r="K289" s="2"/>
    </row>
    <row r="290" spans="9:11" x14ac:dyDescent="0.35">
      <c r="I290" s="2"/>
      <c r="K290" s="2"/>
    </row>
    <row r="291" spans="9:11" x14ac:dyDescent="0.35">
      <c r="I291" s="2"/>
      <c r="K291" s="2"/>
    </row>
    <row r="292" spans="9:11" x14ac:dyDescent="0.35">
      <c r="I292" s="2"/>
      <c r="K292" s="2"/>
    </row>
    <row r="293" spans="9:11" x14ac:dyDescent="0.35">
      <c r="I293" s="2"/>
      <c r="K293" s="2"/>
    </row>
    <row r="294" spans="9:11" x14ac:dyDescent="0.35">
      <c r="I294" s="2"/>
      <c r="K294" s="2"/>
    </row>
    <row r="295" spans="9:11" x14ac:dyDescent="0.35">
      <c r="I295" s="2"/>
      <c r="K295" s="2"/>
    </row>
    <row r="296" spans="9:11" x14ac:dyDescent="0.35">
      <c r="I296" s="2"/>
      <c r="K296" s="2"/>
    </row>
    <row r="297" spans="9:11" x14ac:dyDescent="0.35">
      <c r="I297" s="2"/>
      <c r="K297" s="2"/>
    </row>
    <row r="298" spans="9:11" x14ac:dyDescent="0.35">
      <c r="I298" s="2"/>
      <c r="K298" s="2"/>
    </row>
    <row r="299" spans="9:11" x14ac:dyDescent="0.35">
      <c r="I299" s="2"/>
      <c r="K299" s="2"/>
    </row>
    <row r="300" spans="9:11" x14ac:dyDescent="0.35">
      <c r="I300" s="2"/>
      <c r="K300" s="2"/>
    </row>
    <row r="301" spans="9:11" x14ac:dyDescent="0.35">
      <c r="I301" s="2"/>
      <c r="K301" s="2"/>
    </row>
    <row r="302" spans="9:11" x14ac:dyDescent="0.35">
      <c r="I302" s="2"/>
      <c r="K302" s="2"/>
    </row>
    <row r="303" spans="9:11" x14ac:dyDescent="0.35">
      <c r="I303" s="2"/>
      <c r="K303" s="2"/>
    </row>
    <row r="304" spans="9:11" x14ac:dyDescent="0.35">
      <c r="I304" s="2"/>
      <c r="K304" s="2"/>
    </row>
    <row r="305" spans="9:11" x14ac:dyDescent="0.35">
      <c r="I305" s="2"/>
      <c r="K305" s="2"/>
    </row>
    <row r="306" spans="9:11" x14ac:dyDescent="0.35">
      <c r="I306" s="2"/>
      <c r="K306" s="2"/>
    </row>
    <row r="307" spans="9:11" x14ac:dyDescent="0.35">
      <c r="I307" s="2"/>
      <c r="K307" s="2"/>
    </row>
    <row r="308" spans="9:11" x14ac:dyDescent="0.35">
      <c r="I308" s="2"/>
      <c r="K308" s="2"/>
    </row>
    <row r="309" spans="9:11" x14ac:dyDescent="0.35">
      <c r="I309" s="2"/>
      <c r="K309" s="2"/>
    </row>
    <row r="310" spans="9:11" x14ac:dyDescent="0.35">
      <c r="I310" s="2"/>
      <c r="K310" s="2"/>
    </row>
    <row r="311" spans="9:11" x14ac:dyDescent="0.35">
      <c r="I311" s="2"/>
      <c r="K311" s="2"/>
    </row>
    <row r="312" spans="9:11" x14ac:dyDescent="0.35">
      <c r="I312" s="2"/>
      <c r="K312" s="2"/>
    </row>
    <row r="313" spans="9:11" x14ac:dyDescent="0.35">
      <c r="I313" s="2"/>
      <c r="K313" s="2"/>
    </row>
    <row r="314" spans="9:11" x14ac:dyDescent="0.35">
      <c r="I314" s="2"/>
      <c r="K314" s="2"/>
    </row>
    <row r="315" spans="9:11" x14ac:dyDescent="0.35">
      <c r="I315" s="2"/>
      <c r="K315" s="2"/>
    </row>
    <row r="316" spans="9:11" x14ac:dyDescent="0.35">
      <c r="I316" s="2"/>
      <c r="K316" s="2"/>
    </row>
    <row r="317" spans="9:11" x14ac:dyDescent="0.35">
      <c r="I317" s="2"/>
      <c r="K317" s="2"/>
    </row>
    <row r="318" spans="9:11" x14ac:dyDescent="0.35">
      <c r="I318" s="2"/>
      <c r="K318" s="2"/>
    </row>
    <row r="319" spans="9:11" x14ac:dyDescent="0.35">
      <c r="I319" s="2"/>
      <c r="K319" s="2"/>
    </row>
    <row r="320" spans="9:11" x14ac:dyDescent="0.35">
      <c r="I320" s="2"/>
      <c r="K320" s="2"/>
    </row>
    <row r="321" spans="9:11" x14ac:dyDescent="0.35">
      <c r="I321" s="2"/>
      <c r="K321" s="2"/>
    </row>
    <row r="322" spans="9:11" x14ac:dyDescent="0.35">
      <c r="I322" s="2"/>
      <c r="K322" s="2"/>
    </row>
    <row r="323" spans="9:11" x14ac:dyDescent="0.35">
      <c r="I323" s="2"/>
      <c r="K323" s="2"/>
    </row>
    <row r="324" spans="9:11" x14ac:dyDescent="0.35">
      <c r="I324" s="2"/>
      <c r="K324" s="2"/>
    </row>
    <row r="325" spans="9:11" x14ac:dyDescent="0.35">
      <c r="I325" s="2"/>
      <c r="K325" s="2"/>
    </row>
    <row r="326" spans="9:11" x14ac:dyDescent="0.35">
      <c r="I326" s="2"/>
      <c r="K326" s="2"/>
    </row>
    <row r="327" spans="9:11" x14ac:dyDescent="0.35">
      <c r="I327" s="2"/>
      <c r="K327" s="2"/>
    </row>
    <row r="328" spans="9:11" x14ac:dyDescent="0.35">
      <c r="I328" s="2"/>
      <c r="K328" s="2"/>
    </row>
    <row r="329" spans="9:11" x14ac:dyDescent="0.35">
      <c r="I329" s="2"/>
      <c r="K329" s="2"/>
    </row>
    <row r="330" spans="9:11" x14ac:dyDescent="0.35">
      <c r="I330" s="2"/>
      <c r="K330" s="2"/>
    </row>
    <row r="331" spans="9:11" x14ac:dyDescent="0.35">
      <c r="I331" s="2"/>
      <c r="K331" s="2"/>
    </row>
    <row r="332" spans="9:11" x14ac:dyDescent="0.35">
      <c r="I332" s="2"/>
      <c r="K332" s="2"/>
    </row>
    <row r="333" spans="9:11" x14ac:dyDescent="0.35">
      <c r="I333" s="2"/>
      <c r="K333" s="2"/>
    </row>
    <row r="334" spans="9:11" x14ac:dyDescent="0.35">
      <c r="I334" s="2"/>
      <c r="K334" s="2"/>
    </row>
    <row r="335" spans="9:11" x14ac:dyDescent="0.35">
      <c r="I335" s="2"/>
      <c r="K335" s="2"/>
    </row>
    <row r="336" spans="9:11" x14ac:dyDescent="0.35">
      <c r="I336" s="2"/>
      <c r="K336" s="2"/>
    </row>
    <row r="337" spans="9:11" x14ac:dyDescent="0.35">
      <c r="I337" s="2"/>
      <c r="K337" s="2"/>
    </row>
    <row r="338" spans="9:11" x14ac:dyDescent="0.35">
      <c r="I338" s="2"/>
      <c r="K338" s="2"/>
    </row>
    <row r="339" spans="9:11" x14ac:dyDescent="0.35">
      <c r="I339" s="2"/>
      <c r="K339" s="2"/>
    </row>
    <row r="340" spans="9:11" x14ac:dyDescent="0.35">
      <c r="I340" s="2"/>
      <c r="K340" s="2"/>
    </row>
    <row r="341" spans="9:11" x14ac:dyDescent="0.35">
      <c r="I341" s="2"/>
      <c r="K341" s="2"/>
    </row>
    <row r="342" spans="9:11" x14ac:dyDescent="0.35">
      <c r="I342" s="2"/>
      <c r="K342" s="2"/>
    </row>
    <row r="343" spans="9:11" x14ac:dyDescent="0.35">
      <c r="I343" s="2"/>
      <c r="K343" s="2"/>
    </row>
    <row r="344" spans="9:11" x14ac:dyDescent="0.35">
      <c r="I344" s="2"/>
      <c r="K344" s="2"/>
    </row>
    <row r="345" spans="9:11" x14ac:dyDescent="0.35">
      <c r="I345" s="2"/>
      <c r="K345" s="2"/>
    </row>
    <row r="346" spans="9:11" x14ac:dyDescent="0.35">
      <c r="I346" s="2"/>
      <c r="K346" s="2"/>
    </row>
    <row r="347" spans="9:11" x14ac:dyDescent="0.35">
      <c r="I347" s="2"/>
      <c r="K347" s="2"/>
    </row>
    <row r="348" spans="9:11" x14ac:dyDescent="0.35">
      <c r="I348" s="2"/>
      <c r="K348" s="2"/>
    </row>
    <row r="349" spans="9:11" x14ac:dyDescent="0.35">
      <c r="I349" s="2"/>
      <c r="K349" s="2"/>
    </row>
    <row r="350" spans="9:11" x14ac:dyDescent="0.35">
      <c r="I350" s="2"/>
      <c r="K350" s="2"/>
    </row>
    <row r="351" spans="9:11" x14ac:dyDescent="0.35">
      <c r="I351" s="2"/>
      <c r="K351" s="2"/>
    </row>
    <row r="352" spans="9:11" x14ac:dyDescent="0.35">
      <c r="I352" s="2"/>
      <c r="K352" s="2"/>
    </row>
    <row r="353" spans="9:11" x14ac:dyDescent="0.35">
      <c r="I353" s="2"/>
      <c r="K353" s="2"/>
    </row>
    <row r="354" spans="9:11" x14ac:dyDescent="0.35">
      <c r="I354" s="2"/>
      <c r="K354" s="2"/>
    </row>
    <row r="355" spans="9:11" x14ac:dyDescent="0.35">
      <c r="I355" s="2"/>
      <c r="K355" s="2"/>
    </row>
    <row r="356" spans="9:11" x14ac:dyDescent="0.35">
      <c r="I356" s="2"/>
      <c r="K356" s="2"/>
    </row>
    <row r="357" spans="9:11" x14ac:dyDescent="0.35">
      <c r="I357" s="2"/>
      <c r="K357" s="2"/>
    </row>
    <row r="358" spans="9:11" x14ac:dyDescent="0.35">
      <c r="I358" s="2"/>
      <c r="K358" s="2"/>
    </row>
    <row r="359" spans="9:11" x14ac:dyDescent="0.35">
      <c r="I359" s="2"/>
      <c r="K359" s="2"/>
    </row>
    <row r="360" spans="9:11" x14ac:dyDescent="0.35">
      <c r="I360" s="2"/>
      <c r="K360" s="2"/>
    </row>
    <row r="361" spans="9:11" x14ac:dyDescent="0.35">
      <c r="I361" s="2"/>
      <c r="K361" s="2"/>
    </row>
    <row r="362" spans="9:11" x14ac:dyDescent="0.35">
      <c r="I362" s="2"/>
      <c r="K362" s="2"/>
    </row>
    <row r="363" spans="9:11" x14ac:dyDescent="0.35">
      <c r="I363" s="2"/>
      <c r="K363" s="2"/>
    </row>
    <row r="364" spans="9:11" x14ac:dyDescent="0.35">
      <c r="I364" s="2"/>
      <c r="K364" s="2"/>
    </row>
    <row r="365" spans="9:11" x14ac:dyDescent="0.35">
      <c r="I365" s="2"/>
      <c r="K365" s="2"/>
    </row>
    <row r="366" spans="9:11" x14ac:dyDescent="0.35">
      <c r="I366" s="2"/>
      <c r="K366" s="2"/>
    </row>
    <row r="367" spans="9:11" x14ac:dyDescent="0.35">
      <c r="I367" s="2"/>
      <c r="K367" s="2"/>
    </row>
    <row r="368" spans="9:11" x14ac:dyDescent="0.35">
      <c r="I368" s="2"/>
      <c r="K368" s="2"/>
    </row>
    <row r="369" spans="9:11" x14ac:dyDescent="0.35">
      <c r="I369" s="2"/>
      <c r="K369" s="2"/>
    </row>
    <row r="370" spans="9:11" x14ac:dyDescent="0.35">
      <c r="I370" s="2"/>
      <c r="K370" s="2"/>
    </row>
    <row r="371" spans="9:11" x14ac:dyDescent="0.35">
      <c r="I371" s="2"/>
      <c r="K371" s="2"/>
    </row>
    <row r="372" spans="9:11" x14ac:dyDescent="0.35">
      <c r="I372" s="2"/>
      <c r="K372" s="2"/>
    </row>
    <row r="373" spans="9:11" x14ac:dyDescent="0.35">
      <c r="I373" s="2"/>
      <c r="K373" s="2"/>
    </row>
    <row r="374" spans="9:11" x14ac:dyDescent="0.35">
      <c r="I374" s="2"/>
      <c r="K374" s="2"/>
    </row>
    <row r="375" spans="9:11" x14ac:dyDescent="0.35">
      <c r="I375" s="2"/>
      <c r="K375" s="2"/>
    </row>
    <row r="376" spans="9:11" x14ac:dyDescent="0.35">
      <c r="I376" s="2"/>
      <c r="K376" s="2"/>
    </row>
    <row r="377" spans="9:11" x14ac:dyDescent="0.35">
      <c r="I377" s="2"/>
      <c r="K377" s="2"/>
    </row>
    <row r="378" spans="9:11" x14ac:dyDescent="0.35">
      <c r="I378" s="2"/>
      <c r="K378" s="2"/>
    </row>
    <row r="379" spans="9:11" x14ac:dyDescent="0.35">
      <c r="I379" s="2"/>
      <c r="K379" s="2"/>
    </row>
    <row r="380" spans="9:11" x14ac:dyDescent="0.35">
      <c r="I380" s="2"/>
      <c r="K380" s="2"/>
    </row>
    <row r="381" spans="9:11" x14ac:dyDescent="0.35">
      <c r="I381" s="2"/>
      <c r="K381" s="2"/>
    </row>
    <row r="382" spans="9:11" x14ac:dyDescent="0.35">
      <c r="I382" s="2"/>
      <c r="K382" s="2"/>
    </row>
    <row r="383" spans="9:11" x14ac:dyDescent="0.35">
      <c r="I383" s="2"/>
      <c r="K383" s="2"/>
    </row>
    <row r="384" spans="9:11" x14ac:dyDescent="0.35">
      <c r="I384" s="2"/>
      <c r="K384" s="2"/>
    </row>
    <row r="385" spans="9:11" x14ac:dyDescent="0.35">
      <c r="I385" s="2"/>
      <c r="K385" s="2"/>
    </row>
    <row r="386" spans="9:11" x14ac:dyDescent="0.35">
      <c r="I386" s="2"/>
      <c r="K386" s="2"/>
    </row>
    <row r="387" spans="9:11" x14ac:dyDescent="0.35">
      <c r="I387" s="2"/>
      <c r="K387" s="2"/>
    </row>
    <row r="388" spans="9:11" x14ac:dyDescent="0.35">
      <c r="I388" s="2"/>
      <c r="K388" s="2"/>
    </row>
    <row r="389" spans="9:11" x14ac:dyDescent="0.35">
      <c r="I389" s="2"/>
      <c r="K389" s="2"/>
    </row>
    <row r="390" spans="9:11" x14ac:dyDescent="0.35">
      <c r="I390" s="2"/>
      <c r="K390" s="2"/>
    </row>
    <row r="391" spans="9:11" x14ac:dyDescent="0.35">
      <c r="I391" s="2"/>
      <c r="K391" s="2"/>
    </row>
    <row r="392" spans="9:11" x14ac:dyDescent="0.35">
      <c r="I392" s="2"/>
      <c r="K392" s="2"/>
    </row>
    <row r="393" spans="9:11" x14ac:dyDescent="0.35">
      <c r="I393" s="2"/>
      <c r="K393" s="2"/>
    </row>
    <row r="394" spans="9:11" x14ac:dyDescent="0.35">
      <c r="I394" s="2"/>
      <c r="K394" s="2"/>
    </row>
    <row r="395" spans="9:11" x14ac:dyDescent="0.35">
      <c r="I395" s="2"/>
      <c r="K395" s="2"/>
    </row>
    <row r="396" spans="9:11" x14ac:dyDescent="0.35">
      <c r="I396" s="2"/>
      <c r="K396" s="2"/>
    </row>
    <row r="397" spans="9:11" x14ac:dyDescent="0.35">
      <c r="I397" s="2"/>
      <c r="K397" s="2"/>
    </row>
    <row r="398" spans="9:11" x14ac:dyDescent="0.35">
      <c r="I398" s="2"/>
      <c r="K398" s="2"/>
    </row>
    <row r="399" spans="9:11" x14ac:dyDescent="0.35">
      <c r="I399" s="2"/>
      <c r="K399" s="2"/>
    </row>
    <row r="400" spans="9:11" x14ac:dyDescent="0.35">
      <c r="I400" s="2"/>
      <c r="K400" s="2"/>
    </row>
    <row r="401" spans="9:11" x14ac:dyDescent="0.35">
      <c r="I401" s="2"/>
      <c r="K401" s="2"/>
    </row>
    <row r="402" spans="9:11" x14ac:dyDescent="0.35">
      <c r="I402" s="2"/>
      <c r="K402" s="2"/>
    </row>
    <row r="403" spans="9:11" x14ac:dyDescent="0.35">
      <c r="I403" s="2"/>
      <c r="K403" s="2"/>
    </row>
    <row r="404" spans="9:11" x14ac:dyDescent="0.35">
      <c r="I404" s="2"/>
      <c r="K404" s="2"/>
    </row>
    <row r="405" spans="9:11" x14ac:dyDescent="0.35">
      <c r="I405" s="2"/>
      <c r="K405" s="2"/>
    </row>
    <row r="406" spans="9:11" x14ac:dyDescent="0.35">
      <c r="I406" s="2"/>
      <c r="K406" s="2"/>
    </row>
    <row r="407" spans="9:11" x14ac:dyDescent="0.35">
      <c r="I407" s="2"/>
      <c r="K407" s="2"/>
    </row>
    <row r="408" spans="9:11" x14ac:dyDescent="0.35">
      <c r="I408" s="2"/>
      <c r="K408" s="2"/>
    </row>
    <row r="409" spans="9:11" x14ac:dyDescent="0.35">
      <c r="I409" s="2"/>
      <c r="K409" s="2"/>
    </row>
    <row r="410" spans="9:11" x14ac:dyDescent="0.35">
      <c r="I410" s="2"/>
      <c r="K410" s="2"/>
    </row>
    <row r="411" spans="9:11" x14ac:dyDescent="0.35">
      <c r="I411" s="2"/>
      <c r="K411" s="2"/>
    </row>
    <row r="412" spans="9:11" x14ac:dyDescent="0.35">
      <c r="I412" s="2"/>
      <c r="K412" s="2"/>
    </row>
    <row r="413" spans="9:11" x14ac:dyDescent="0.35">
      <c r="I413" s="2"/>
      <c r="K413" s="2"/>
    </row>
    <row r="414" spans="9:11" x14ac:dyDescent="0.35">
      <c r="I414" s="2"/>
      <c r="K414" s="2"/>
    </row>
    <row r="415" spans="9:11" x14ac:dyDescent="0.35">
      <c r="I415" s="2"/>
      <c r="K415" s="2"/>
    </row>
    <row r="416" spans="9:11" x14ac:dyDescent="0.35">
      <c r="I416" s="2"/>
      <c r="K416" s="2"/>
    </row>
    <row r="417" spans="9:11" x14ac:dyDescent="0.35">
      <c r="I417" s="2"/>
      <c r="K417" s="2"/>
    </row>
    <row r="418" spans="9:11" x14ac:dyDescent="0.35">
      <c r="I418" s="2"/>
      <c r="K418" s="2"/>
    </row>
    <row r="419" spans="9:11" x14ac:dyDescent="0.35">
      <c r="I419" s="2"/>
      <c r="K419" s="2"/>
    </row>
    <row r="420" spans="9:11" x14ac:dyDescent="0.35">
      <c r="I420" s="2"/>
      <c r="K420" s="2"/>
    </row>
    <row r="421" spans="9:11" x14ac:dyDescent="0.35">
      <c r="I421" s="2"/>
      <c r="K421" s="2"/>
    </row>
    <row r="422" spans="9:11" x14ac:dyDescent="0.35">
      <c r="I422" s="2"/>
      <c r="K422" s="2"/>
    </row>
    <row r="423" spans="9:11" x14ac:dyDescent="0.35">
      <c r="I423" s="2"/>
      <c r="K423" s="2"/>
    </row>
    <row r="424" spans="9:11" x14ac:dyDescent="0.35">
      <c r="I424" s="2"/>
      <c r="K424" s="2"/>
    </row>
    <row r="425" spans="9:11" x14ac:dyDescent="0.35">
      <c r="I425" s="2"/>
      <c r="K425" s="2"/>
    </row>
    <row r="426" spans="9:11" x14ac:dyDescent="0.35">
      <c r="I426" s="2"/>
      <c r="K426" s="2"/>
    </row>
    <row r="427" spans="9:11" x14ac:dyDescent="0.35">
      <c r="I427" s="2"/>
      <c r="K427" s="2"/>
    </row>
    <row r="428" spans="9:11" x14ac:dyDescent="0.35">
      <c r="I428" s="2"/>
      <c r="K428" s="2"/>
    </row>
    <row r="429" spans="9:11" x14ac:dyDescent="0.35">
      <c r="I429" s="2"/>
      <c r="K429" s="2"/>
    </row>
    <row r="430" spans="9:11" x14ac:dyDescent="0.35">
      <c r="I430" s="2"/>
      <c r="K430" s="2"/>
    </row>
    <row r="431" spans="9:11" x14ac:dyDescent="0.35">
      <c r="I431" s="2"/>
      <c r="K431" s="2"/>
    </row>
    <row r="432" spans="9:11" x14ac:dyDescent="0.35">
      <c r="I432" s="2"/>
      <c r="K432" s="2"/>
    </row>
    <row r="433" spans="9:11" x14ac:dyDescent="0.35">
      <c r="I433" s="2"/>
      <c r="K433" s="2"/>
    </row>
    <row r="434" spans="9:11" x14ac:dyDescent="0.35">
      <c r="I434" s="2"/>
      <c r="K434" s="2"/>
    </row>
    <row r="435" spans="9:11" x14ac:dyDescent="0.35">
      <c r="I435" s="2"/>
      <c r="K435" s="2"/>
    </row>
    <row r="436" spans="9:11" x14ac:dyDescent="0.35">
      <c r="I436" s="2"/>
      <c r="K436" s="2"/>
    </row>
    <row r="437" spans="9:11" x14ac:dyDescent="0.35">
      <c r="I437" s="2"/>
      <c r="K437" s="2"/>
    </row>
    <row r="438" spans="9:11" x14ac:dyDescent="0.35">
      <c r="I438" s="2"/>
      <c r="K438" s="2"/>
    </row>
    <row r="439" spans="9:11" x14ac:dyDescent="0.35">
      <c r="I439" s="2"/>
      <c r="K439" s="2"/>
    </row>
    <row r="440" spans="9:11" x14ac:dyDescent="0.35">
      <c r="I440" s="2"/>
      <c r="K440" s="2"/>
    </row>
    <row r="441" spans="9:11" x14ac:dyDescent="0.35">
      <c r="I441" s="2"/>
      <c r="K441" s="2"/>
    </row>
    <row r="442" spans="9:11" x14ac:dyDescent="0.35">
      <c r="I442" s="2"/>
      <c r="K442" s="2"/>
    </row>
    <row r="443" spans="9:11" x14ac:dyDescent="0.35">
      <c r="I443" s="2"/>
      <c r="K443" s="2"/>
    </row>
    <row r="444" spans="9:11" x14ac:dyDescent="0.35">
      <c r="I444" s="2"/>
      <c r="K444" s="2"/>
    </row>
    <row r="445" spans="9:11" x14ac:dyDescent="0.35">
      <c r="I445" s="2"/>
      <c r="K445" s="2"/>
    </row>
    <row r="446" spans="9:11" x14ac:dyDescent="0.35">
      <c r="I446" s="2"/>
      <c r="K446" s="2"/>
    </row>
    <row r="447" spans="9:11" x14ac:dyDescent="0.35">
      <c r="I447" s="2"/>
      <c r="K447" s="2"/>
    </row>
    <row r="448" spans="9:11" x14ac:dyDescent="0.35">
      <c r="I448" s="2"/>
      <c r="K448" s="2"/>
    </row>
    <row r="449" spans="9:11" x14ac:dyDescent="0.35">
      <c r="I449" s="2"/>
      <c r="K449" s="2"/>
    </row>
    <row r="450" spans="9:11" x14ac:dyDescent="0.35">
      <c r="I450" s="2"/>
      <c r="K450" s="2"/>
    </row>
    <row r="451" spans="9:11" x14ac:dyDescent="0.35">
      <c r="I451" s="2"/>
      <c r="K451" s="2"/>
    </row>
    <row r="452" spans="9:11" x14ac:dyDescent="0.35">
      <c r="I452" s="2"/>
      <c r="K452" s="2"/>
    </row>
    <row r="453" spans="9:11" x14ac:dyDescent="0.35">
      <c r="I453" s="2"/>
      <c r="K453" s="2"/>
    </row>
    <row r="454" spans="9:11" x14ac:dyDescent="0.35">
      <c r="I454" s="2"/>
      <c r="K454" s="2"/>
    </row>
    <row r="455" spans="9:11" x14ac:dyDescent="0.35">
      <c r="I455" s="2"/>
      <c r="K455" s="2"/>
    </row>
    <row r="456" spans="9:11" x14ac:dyDescent="0.35">
      <c r="I456" s="2"/>
      <c r="K456" s="2"/>
    </row>
    <row r="457" spans="9:11" x14ac:dyDescent="0.35">
      <c r="I457" s="2"/>
      <c r="K457" s="2"/>
    </row>
    <row r="458" spans="9:11" x14ac:dyDescent="0.35">
      <c r="I458" s="2"/>
      <c r="K458" s="2"/>
    </row>
    <row r="459" spans="9:11" x14ac:dyDescent="0.35">
      <c r="I459" s="2"/>
      <c r="K459" s="2"/>
    </row>
    <row r="460" spans="9:11" x14ac:dyDescent="0.35">
      <c r="I460" s="2"/>
      <c r="K460" s="2"/>
    </row>
    <row r="461" spans="9:11" x14ac:dyDescent="0.35">
      <c r="I461" s="2"/>
      <c r="K461" s="2"/>
    </row>
    <row r="462" spans="9:11" x14ac:dyDescent="0.35">
      <c r="I462" s="2"/>
      <c r="K462" s="2"/>
    </row>
    <row r="463" spans="9:11" x14ac:dyDescent="0.35">
      <c r="I463" s="2"/>
      <c r="K463" s="2"/>
    </row>
    <row r="464" spans="9:11" x14ac:dyDescent="0.35">
      <c r="I464" s="2"/>
      <c r="K464" s="2"/>
    </row>
    <row r="465" spans="9:11" x14ac:dyDescent="0.35">
      <c r="I465" s="2"/>
      <c r="K465" s="2"/>
    </row>
    <row r="466" spans="9:11" x14ac:dyDescent="0.35">
      <c r="I466" s="2"/>
      <c r="K466" s="2"/>
    </row>
    <row r="467" spans="9:11" x14ac:dyDescent="0.35">
      <c r="I467" s="2"/>
      <c r="K467" s="2"/>
    </row>
    <row r="468" spans="9:11" x14ac:dyDescent="0.35">
      <c r="I468" s="2"/>
      <c r="K468" s="2"/>
    </row>
    <row r="469" spans="9:11" x14ac:dyDescent="0.35">
      <c r="I469" s="2"/>
      <c r="K469" s="2"/>
    </row>
    <row r="470" spans="9:11" x14ac:dyDescent="0.35">
      <c r="I470" s="2"/>
      <c r="K470" s="2"/>
    </row>
    <row r="471" spans="9:11" x14ac:dyDescent="0.35">
      <c r="I471" s="2"/>
      <c r="K471" s="2"/>
    </row>
    <row r="472" spans="9:11" x14ac:dyDescent="0.35">
      <c r="I472" s="2"/>
      <c r="K472" s="2"/>
    </row>
    <row r="473" spans="9:11" x14ac:dyDescent="0.35">
      <c r="I473" s="2"/>
      <c r="K473" s="2"/>
    </row>
    <row r="474" spans="9:11" x14ac:dyDescent="0.35">
      <c r="I474" s="2"/>
      <c r="K474" s="2"/>
    </row>
    <row r="475" spans="9:11" x14ac:dyDescent="0.35">
      <c r="I475" s="2"/>
      <c r="K475" s="2"/>
    </row>
    <row r="476" spans="9:11" x14ac:dyDescent="0.35">
      <c r="I476" s="2"/>
      <c r="K476" s="2"/>
    </row>
    <row r="477" spans="9:11" x14ac:dyDescent="0.35">
      <c r="I477" s="2"/>
      <c r="K477" s="2"/>
    </row>
    <row r="478" spans="9:11" x14ac:dyDescent="0.35">
      <c r="I478" s="2"/>
      <c r="K478" s="2"/>
    </row>
    <row r="479" spans="9:11" x14ac:dyDescent="0.35">
      <c r="I479" s="2"/>
      <c r="K479" s="2"/>
    </row>
    <row r="480" spans="9:11" x14ac:dyDescent="0.35">
      <c r="I480" s="2"/>
      <c r="K480" s="2"/>
    </row>
    <row r="481" spans="9:11" x14ac:dyDescent="0.35">
      <c r="I481" s="2"/>
      <c r="K481" s="2"/>
    </row>
    <row r="482" spans="9:11" x14ac:dyDescent="0.35">
      <c r="I482" s="2"/>
      <c r="K482" s="2"/>
    </row>
    <row r="483" spans="9:11" x14ac:dyDescent="0.35">
      <c r="I483" s="2"/>
      <c r="K483" s="2"/>
    </row>
    <row r="484" spans="9:11" x14ac:dyDescent="0.35">
      <c r="I484" s="2"/>
      <c r="K484" s="2"/>
    </row>
    <row r="485" spans="9:11" x14ac:dyDescent="0.35">
      <c r="I485" s="2"/>
      <c r="K485" s="2"/>
    </row>
    <row r="486" spans="9:11" x14ac:dyDescent="0.35">
      <c r="I486" s="2"/>
      <c r="K486" s="2"/>
    </row>
    <row r="487" spans="9:11" x14ac:dyDescent="0.35">
      <c r="I487" s="2"/>
      <c r="K487" s="2"/>
    </row>
    <row r="488" spans="9:11" x14ac:dyDescent="0.35">
      <c r="I488" s="2"/>
      <c r="K488" s="2"/>
    </row>
    <row r="489" spans="9:11" x14ac:dyDescent="0.35">
      <c r="I489" s="2"/>
      <c r="K489" s="2"/>
    </row>
    <row r="490" spans="9:11" x14ac:dyDescent="0.35">
      <c r="I490" s="2"/>
      <c r="K490" s="2"/>
    </row>
    <row r="491" spans="9:11" x14ac:dyDescent="0.35">
      <c r="I491" s="2"/>
      <c r="K491" s="2"/>
    </row>
    <row r="492" spans="9:11" x14ac:dyDescent="0.35">
      <c r="I492" s="2"/>
      <c r="K492" s="2"/>
    </row>
    <row r="493" spans="9:11" x14ac:dyDescent="0.35">
      <c r="I493" s="2"/>
      <c r="K493" s="2"/>
    </row>
    <row r="494" spans="9:11" x14ac:dyDescent="0.35">
      <c r="I494" s="2"/>
      <c r="K494" s="2"/>
    </row>
    <row r="495" spans="9:11" x14ac:dyDescent="0.35">
      <c r="I495" s="2"/>
      <c r="K495" s="2"/>
    </row>
    <row r="496" spans="9:11" x14ac:dyDescent="0.35">
      <c r="I496" s="2"/>
      <c r="K496" s="2"/>
    </row>
    <row r="497" spans="9:11" x14ac:dyDescent="0.35">
      <c r="I497" s="2"/>
      <c r="K497" s="2"/>
    </row>
    <row r="498" spans="9:11" x14ac:dyDescent="0.35">
      <c r="I498" s="2"/>
      <c r="K498" s="2"/>
    </row>
    <row r="499" spans="9:11" x14ac:dyDescent="0.35">
      <c r="I499" s="2"/>
      <c r="K499" s="2"/>
    </row>
    <row r="500" spans="9:11" x14ac:dyDescent="0.35">
      <c r="I500" s="2"/>
      <c r="K500" s="2"/>
    </row>
    <row r="501" spans="9:11" x14ac:dyDescent="0.35">
      <c r="I501" s="2"/>
      <c r="K501" s="2"/>
    </row>
    <row r="502" spans="9:11" x14ac:dyDescent="0.35">
      <c r="I502" s="2"/>
      <c r="K502" s="2"/>
    </row>
    <row r="503" spans="9:11" x14ac:dyDescent="0.35">
      <c r="I503" s="2"/>
      <c r="K503" s="2"/>
    </row>
    <row r="504" spans="9:11" x14ac:dyDescent="0.35">
      <c r="I504" s="2"/>
      <c r="K504" s="2"/>
    </row>
    <row r="505" spans="9:11" x14ac:dyDescent="0.35">
      <c r="I505" s="2"/>
      <c r="K505" s="2"/>
    </row>
    <row r="506" spans="9:11" x14ac:dyDescent="0.35">
      <c r="I506" s="2"/>
      <c r="K506" s="2"/>
    </row>
    <row r="507" spans="9:11" x14ac:dyDescent="0.35">
      <c r="I507" s="2"/>
      <c r="K507" s="2"/>
    </row>
    <row r="508" spans="9:11" x14ac:dyDescent="0.35">
      <c r="I508" s="2"/>
      <c r="K508" s="2"/>
    </row>
    <row r="509" spans="9:11" x14ac:dyDescent="0.35">
      <c r="I509" s="2"/>
      <c r="K509" s="2"/>
    </row>
    <row r="510" spans="9:11" x14ac:dyDescent="0.35">
      <c r="I510" s="2"/>
      <c r="K510" s="2"/>
    </row>
    <row r="511" spans="9:11" x14ac:dyDescent="0.35">
      <c r="I511" s="2"/>
      <c r="K511" s="2"/>
    </row>
    <row r="512" spans="9:11" x14ac:dyDescent="0.35">
      <c r="I512" s="2"/>
      <c r="K512" s="2"/>
    </row>
    <row r="513" spans="9:11" x14ac:dyDescent="0.35">
      <c r="I513" s="2"/>
      <c r="K513" s="2"/>
    </row>
    <row r="514" spans="9:11" x14ac:dyDescent="0.35">
      <c r="I514" s="2"/>
      <c r="K514" s="2"/>
    </row>
    <row r="515" spans="9:11" x14ac:dyDescent="0.35">
      <c r="I515" s="2"/>
      <c r="K515" s="2"/>
    </row>
    <row r="516" spans="9:11" x14ac:dyDescent="0.35">
      <c r="I516" s="2"/>
      <c r="K516" s="2"/>
    </row>
    <row r="517" spans="9:11" x14ac:dyDescent="0.35">
      <c r="I517" s="2"/>
      <c r="K517" s="2"/>
    </row>
    <row r="518" spans="9:11" x14ac:dyDescent="0.35">
      <c r="I518" s="2"/>
      <c r="K518" s="2"/>
    </row>
    <row r="519" spans="9:11" x14ac:dyDescent="0.35">
      <c r="I519" s="2"/>
      <c r="K519" s="2"/>
    </row>
    <row r="520" spans="9:11" x14ac:dyDescent="0.35">
      <c r="I520" s="2"/>
      <c r="K520" s="2"/>
    </row>
    <row r="521" spans="9:11" x14ac:dyDescent="0.35">
      <c r="I521" s="2"/>
      <c r="K521" s="2"/>
    </row>
    <row r="522" spans="9:11" x14ac:dyDescent="0.35">
      <c r="I522" s="2"/>
      <c r="K522" s="2"/>
    </row>
    <row r="523" spans="9:11" x14ac:dyDescent="0.35">
      <c r="I523" s="2"/>
      <c r="K523" s="2"/>
    </row>
    <row r="524" spans="9:11" x14ac:dyDescent="0.35">
      <c r="I524" s="2"/>
      <c r="K524" s="2"/>
    </row>
    <row r="525" spans="9:11" x14ac:dyDescent="0.35">
      <c r="I525" s="2"/>
      <c r="K525" s="2"/>
    </row>
    <row r="526" spans="9:11" x14ac:dyDescent="0.35">
      <c r="I526" s="2"/>
      <c r="K526" s="2"/>
    </row>
    <row r="527" spans="9:11" x14ac:dyDescent="0.35">
      <c r="I527" s="2"/>
      <c r="K527" s="2"/>
    </row>
    <row r="528" spans="9:11" x14ac:dyDescent="0.35">
      <c r="I528" s="2"/>
      <c r="K528" s="2"/>
    </row>
    <row r="529" spans="9:11" x14ac:dyDescent="0.35">
      <c r="I529" s="2"/>
      <c r="K529" s="2"/>
    </row>
    <row r="530" spans="9:11" x14ac:dyDescent="0.35">
      <c r="I530" s="2"/>
      <c r="K530" s="2"/>
    </row>
    <row r="531" spans="9:11" x14ac:dyDescent="0.35">
      <c r="I531" s="2"/>
      <c r="K531" s="2"/>
    </row>
    <row r="532" spans="9:11" x14ac:dyDescent="0.35">
      <c r="I532" s="2"/>
      <c r="K532" s="2"/>
    </row>
    <row r="533" spans="9:11" x14ac:dyDescent="0.35">
      <c r="I533" s="2"/>
      <c r="K533" s="2"/>
    </row>
    <row r="534" spans="9:11" x14ac:dyDescent="0.35">
      <c r="I534" s="2"/>
      <c r="K534" s="2"/>
    </row>
    <row r="535" spans="9:11" x14ac:dyDescent="0.35">
      <c r="I535" s="2"/>
      <c r="K535" s="2"/>
    </row>
    <row r="536" spans="9:11" x14ac:dyDescent="0.35">
      <c r="I536" s="2"/>
      <c r="K536" s="2"/>
    </row>
    <row r="537" spans="9:11" x14ac:dyDescent="0.35">
      <c r="I537" s="2"/>
      <c r="K537" s="2"/>
    </row>
    <row r="538" spans="9:11" x14ac:dyDescent="0.35">
      <c r="I538" s="2"/>
      <c r="K538" s="2"/>
    </row>
    <row r="539" spans="9:11" x14ac:dyDescent="0.35">
      <c r="I539" s="2"/>
      <c r="K539" s="2"/>
    </row>
    <row r="540" spans="9:11" x14ac:dyDescent="0.35">
      <c r="I540" s="2"/>
      <c r="K540" s="2"/>
    </row>
    <row r="541" spans="9:11" x14ac:dyDescent="0.35">
      <c r="I541" s="2"/>
      <c r="K541" s="2"/>
    </row>
    <row r="542" spans="9:11" x14ac:dyDescent="0.35">
      <c r="I542" s="2"/>
      <c r="K542" s="2"/>
    </row>
    <row r="543" spans="9:11" x14ac:dyDescent="0.35">
      <c r="I543" s="2"/>
      <c r="K543" s="2"/>
    </row>
    <row r="544" spans="9:11" x14ac:dyDescent="0.35">
      <c r="I544" s="2"/>
      <c r="K544" s="2"/>
    </row>
    <row r="545" spans="9:11" x14ac:dyDescent="0.35">
      <c r="I545" s="2"/>
      <c r="K545" s="2"/>
    </row>
    <row r="546" spans="9:11" x14ac:dyDescent="0.35">
      <c r="I546" s="2"/>
      <c r="K546" s="2"/>
    </row>
    <row r="547" spans="9:11" x14ac:dyDescent="0.35">
      <c r="I547" s="2"/>
      <c r="K547" s="2"/>
    </row>
    <row r="548" spans="9:11" x14ac:dyDescent="0.35">
      <c r="I548" s="2"/>
      <c r="K548" s="2"/>
    </row>
    <row r="549" spans="9:11" x14ac:dyDescent="0.35">
      <c r="I549" s="2"/>
      <c r="K549" s="2"/>
    </row>
    <row r="550" spans="9:11" x14ac:dyDescent="0.35">
      <c r="I550" s="2"/>
      <c r="K550" s="2"/>
    </row>
    <row r="551" spans="9:11" x14ac:dyDescent="0.35">
      <c r="I551" s="2"/>
      <c r="K551" s="2"/>
    </row>
    <row r="552" spans="9:11" x14ac:dyDescent="0.35">
      <c r="I552" s="2"/>
      <c r="K552" s="2"/>
    </row>
    <row r="553" spans="9:11" x14ac:dyDescent="0.35">
      <c r="I553" s="2"/>
      <c r="K553" s="2"/>
    </row>
    <row r="554" spans="9:11" x14ac:dyDescent="0.35">
      <c r="I554" s="2"/>
      <c r="K554" s="2"/>
    </row>
    <row r="555" spans="9:11" x14ac:dyDescent="0.35">
      <c r="I555" s="2"/>
      <c r="K555" s="2"/>
    </row>
    <row r="556" spans="9:11" x14ac:dyDescent="0.35">
      <c r="I556" s="2"/>
      <c r="K556" s="2"/>
    </row>
    <row r="557" spans="9:11" x14ac:dyDescent="0.35">
      <c r="I557" s="2"/>
      <c r="K557" s="2"/>
    </row>
    <row r="558" spans="9:11" x14ac:dyDescent="0.35">
      <c r="I558" s="2"/>
      <c r="K558" s="2"/>
    </row>
    <row r="559" spans="9:11" x14ac:dyDescent="0.35">
      <c r="I559" s="2"/>
      <c r="K559" s="2"/>
    </row>
    <row r="560" spans="9:11" x14ac:dyDescent="0.35">
      <c r="I560" s="2"/>
      <c r="K560" s="2"/>
    </row>
    <row r="561" spans="9:11" x14ac:dyDescent="0.35">
      <c r="I561" s="2"/>
      <c r="K561" s="2"/>
    </row>
    <row r="562" spans="9:11" x14ac:dyDescent="0.35">
      <c r="I562" s="2"/>
      <c r="K562" s="2"/>
    </row>
    <row r="563" spans="9:11" x14ac:dyDescent="0.35">
      <c r="I563" s="2"/>
      <c r="K563" s="2"/>
    </row>
    <row r="564" spans="9:11" x14ac:dyDescent="0.35">
      <c r="I564" s="2"/>
      <c r="K564" s="2"/>
    </row>
    <row r="565" spans="9:11" x14ac:dyDescent="0.35">
      <c r="I565" s="2"/>
      <c r="K565" s="2"/>
    </row>
    <row r="566" spans="9:11" x14ac:dyDescent="0.35">
      <c r="I566" s="2"/>
      <c r="K566" s="2"/>
    </row>
    <row r="567" spans="9:11" x14ac:dyDescent="0.35">
      <c r="I567" s="2"/>
      <c r="K567" s="2"/>
    </row>
    <row r="568" spans="9:11" x14ac:dyDescent="0.35">
      <c r="I568" s="2"/>
      <c r="K568" s="2"/>
    </row>
    <row r="569" spans="9:11" x14ac:dyDescent="0.35">
      <c r="I569" s="2"/>
      <c r="K569" s="2"/>
    </row>
    <row r="570" spans="9:11" x14ac:dyDescent="0.35">
      <c r="I570" s="2"/>
      <c r="K570" s="2"/>
    </row>
    <row r="571" spans="9:11" x14ac:dyDescent="0.35">
      <c r="I571" s="2"/>
      <c r="K571" s="2"/>
    </row>
    <row r="572" spans="9:11" x14ac:dyDescent="0.35">
      <c r="I572" s="2"/>
      <c r="K572" s="2"/>
    </row>
    <row r="573" spans="9:11" x14ac:dyDescent="0.35">
      <c r="I573" s="2"/>
      <c r="K573" s="2"/>
    </row>
    <row r="574" spans="9:11" x14ac:dyDescent="0.35">
      <c r="I574" s="2"/>
      <c r="K574" s="2"/>
    </row>
    <row r="575" spans="9:11" x14ac:dyDescent="0.35">
      <c r="I575" s="2"/>
      <c r="K575" s="2"/>
    </row>
    <row r="576" spans="9:11" x14ac:dyDescent="0.35">
      <c r="I576" s="2"/>
      <c r="K576" s="2"/>
    </row>
    <row r="577" spans="9:11" x14ac:dyDescent="0.35">
      <c r="I577" s="2"/>
      <c r="K577" s="2"/>
    </row>
    <row r="578" spans="9:11" x14ac:dyDescent="0.35">
      <c r="I578" s="2"/>
      <c r="K578" s="2"/>
    </row>
    <row r="579" spans="9:11" x14ac:dyDescent="0.35">
      <c r="I579" s="2"/>
      <c r="K579" s="2"/>
    </row>
    <row r="580" spans="9:11" x14ac:dyDescent="0.35">
      <c r="I580" s="2"/>
      <c r="K580" s="2"/>
    </row>
    <row r="581" spans="9:11" x14ac:dyDescent="0.35">
      <c r="I581" s="2"/>
      <c r="K581" s="2"/>
    </row>
    <row r="582" spans="9:11" x14ac:dyDescent="0.35">
      <c r="I582" s="2"/>
      <c r="K582" s="2"/>
    </row>
    <row r="583" spans="9:11" x14ac:dyDescent="0.35">
      <c r="I583" s="2"/>
      <c r="K583" s="2"/>
    </row>
    <row r="584" spans="9:11" x14ac:dyDescent="0.35">
      <c r="I584" s="2"/>
      <c r="K584" s="2"/>
    </row>
    <row r="585" spans="9:11" x14ac:dyDescent="0.35">
      <c r="I585" s="2"/>
      <c r="K585" s="2"/>
    </row>
    <row r="586" spans="9:11" x14ac:dyDescent="0.35">
      <c r="I586" s="2"/>
      <c r="K586" s="2"/>
    </row>
    <row r="587" spans="9:11" x14ac:dyDescent="0.35">
      <c r="I587" s="2"/>
      <c r="K587" s="2"/>
    </row>
    <row r="588" spans="9:11" x14ac:dyDescent="0.35">
      <c r="I588" s="2"/>
      <c r="K588" s="2"/>
    </row>
    <row r="589" spans="9:11" x14ac:dyDescent="0.35">
      <c r="I589" s="2"/>
      <c r="K589" s="2"/>
    </row>
    <row r="590" spans="9:11" x14ac:dyDescent="0.35">
      <c r="I590" s="2"/>
      <c r="K590" s="2"/>
    </row>
    <row r="591" spans="9:11" x14ac:dyDescent="0.35">
      <c r="I591" s="2"/>
      <c r="K591" s="2"/>
    </row>
    <row r="592" spans="9:11" x14ac:dyDescent="0.35">
      <c r="I592" s="2"/>
      <c r="K592" s="2"/>
    </row>
    <row r="593" spans="9:11" x14ac:dyDescent="0.35">
      <c r="I593" s="2"/>
      <c r="K593" s="2"/>
    </row>
    <row r="594" spans="9:11" x14ac:dyDescent="0.35">
      <c r="I594" s="2"/>
      <c r="K594" s="2"/>
    </row>
    <row r="595" spans="9:11" x14ac:dyDescent="0.35">
      <c r="I595" s="2"/>
      <c r="K595" s="2"/>
    </row>
    <row r="596" spans="9:11" x14ac:dyDescent="0.35">
      <c r="I596" s="2"/>
      <c r="K596" s="2"/>
    </row>
    <row r="597" spans="9:11" x14ac:dyDescent="0.35">
      <c r="I597" s="2"/>
      <c r="K597" s="2"/>
    </row>
    <row r="598" spans="9:11" x14ac:dyDescent="0.35">
      <c r="I598" s="2"/>
      <c r="K598" s="2"/>
    </row>
    <row r="599" spans="9:11" x14ac:dyDescent="0.35">
      <c r="I599" s="2"/>
      <c r="K599" s="2"/>
    </row>
    <row r="600" spans="9:11" x14ac:dyDescent="0.35">
      <c r="I600" s="2"/>
      <c r="K600" s="2"/>
    </row>
    <row r="601" spans="9:11" x14ac:dyDescent="0.35">
      <c r="I601" s="2"/>
      <c r="K601" s="2"/>
    </row>
    <row r="602" spans="9:11" x14ac:dyDescent="0.35">
      <c r="I602" s="2"/>
      <c r="K602" s="2"/>
    </row>
    <row r="603" spans="9:11" x14ac:dyDescent="0.35">
      <c r="I603" s="2"/>
      <c r="K603" s="2"/>
    </row>
    <row r="604" spans="9:11" x14ac:dyDescent="0.35">
      <c r="I604" s="2"/>
      <c r="K604" s="2"/>
    </row>
    <row r="605" spans="9:11" x14ac:dyDescent="0.35">
      <c r="I605" s="2"/>
      <c r="K605" s="2"/>
    </row>
    <row r="606" spans="9:11" x14ac:dyDescent="0.35">
      <c r="I606" s="2"/>
      <c r="K606" s="2"/>
    </row>
    <row r="607" spans="9:11" x14ac:dyDescent="0.35">
      <c r="I607" s="2"/>
      <c r="K607" s="2"/>
    </row>
    <row r="608" spans="9:11" x14ac:dyDescent="0.35">
      <c r="I608" s="2"/>
      <c r="K608" s="2"/>
    </row>
    <row r="609" spans="9:11" x14ac:dyDescent="0.35">
      <c r="I609" s="2"/>
      <c r="K609" s="2"/>
    </row>
    <row r="610" spans="9:11" x14ac:dyDescent="0.35">
      <c r="I610" s="2"/>
      <c r="K610" s="2"/>
    </row>
    <row r="611" spans="9:11" x14ac:dyDescent="0.35">
      <c r="I611" s="2"/>
      <c r="K611" s="2"/>
    </row>
    <row r="612" spans="9:11" x14ac:dyDescent="0.35">
      <c r="I612" s="2"/>
      <c r="K612" s="2"/>
    </row>
    <row r="613" spans="9:11" x14ac:dyDescent="0.35">
      <c r="I613" s="2"/>
      <c r="K613" s="2"/>
    </row>
    <row r="614" spans="9:11" x14ac:dyDescent="0.35">
      <c r="I614" s="2"/>
      <c r="K614" s="2"/>
    </row>
    <row r="615" spans="9:11" x14ac:dyDescent="0.35">
      <c r="I615" s="2"/>
      <c r="K615" s="2"/>
    </row>
    <row r="616" spans="9:11" x14ac:dyDescent="0.35">
      <c r="I616" s="2"/>
      <c r="K616" s="2"/>
    </row>
    <row r="617" spans="9:11" x14ac:dyDescent="0.35">
      <c r="I617" s="2"/>
      <c r="K617" s="2"/>
    </row>
    <row r="618" spans="9:11" x14ac:dyDescent="0.35">
      <c r="I618" s="2"/>
      <c r="K618" s="2"/>
    </row>
    <row r="619" spans="9:11" x14ac:dyDescent="0.35">
      <c r="I619" s="2"/>
      <c r="K619" s="2"/>
    </row>
    <row r="620" spans="9:11" x14ac:dyDescent="0.35">
      <c r="I620" s="2"/>
      <c r="K620" s="2"/>
    </row>
    <row r="621" spans="9:11" x14ac:dyDescent="0.35">
      <c r="I621" s="2"/>
      <c r="K621" s="2"/>
    </row>
    <row r="622" spans="9:11" x14ac:dyDescent="0.35">
      <c r="I622" s="2"/>
      <c r="K622" s="2"/>
    </row>
    <row r="623" spans="9:11" x14ac:dyDescent="0.35">
      <c r="I623" s="2"/>
      <c r="K623" s="2"/>
    </row>
    <row r="624" spans="9:11" x14ac:dyDescent="0.35">
      <c r="I624" s="2"/>
      <c r="K624" s="2"/>
    </row>
    <row r="625" spans="9:11" x14ac:dyDescent="0.35">
      <c r="I625" s="2"/>
      <c r="K625" s="2"/>
    </row>
    <row r="626" spans="9:11" x14ac:dyDescent="0.35">
      <c r="I626" s="2"/>
      <c r="K626" s="2"/>
    </row>
    <row r="627" spans="9:11" x14ac:dyDescent="0.35">
      <c r="I627" s="2"/>
      <c r="K627" s="2"/>
    </row>
    <row r="628" spans="9:11" x14ac:dyDescent="0.35">
      <c r="I628" s="2"/>
      <c r="K628" s="2"/>
    </row>
    <row r="629" spans="9:11" x14ac:dyDescent="0.35">
      <c r="I629" s="2"/>
      <c r="K629" s="2"/>
    </row>
    <row r="630" spans="9:11" x14ac:dyDescent="0.35">
      <c r="I630" s="2"/>
      <c r="K630" s="2"/>
    </row>
    <row r="631" spans="9:11" x14ac:dyDescent="0.35">
      <c r="I631" s="2"/>
      <c r="K631" s="2"/>
    </row>
    <row r="632" spans="9:11" x14ac:dyDescent="0.35">
      <c r="I632" s="2"/>
      <c r="K632" s="2"/>
    </row>
    <row r="633" spans="9:11" x14ac:dyDescent="0.35">
      <c r="I633" s="2"/>
      <c r="K633" s="2"/>
    </row>
    <row r="634" spans="9:11" x14ac:dyDescent="0.35">
      <c r="I634" s="2"/>
      <c r="K634" s="2"/>
    </row>
    <row r="635" spans="9:11" x14ac:dyDescent="0.35">
      <c r="I635" s="2"/>
      <c r="K635" s="2"/>
    </row>
    <row r="636" spans="9:11" x14ac:dyDescent="0.35">
      <c r="I636" s="2"/>
      <c r="K636" s="2"/>
    </row>
    <row r="637" spans="9:11" x14ac:dyDescent="0.35">
      <c r="I637" s="2"/>
      <c r="K637" s="2"/>
    </row>
    <row r="638" spans="9:11" x14ac:dyDescent="0.35">
      <c r="I638" s="2"/>
      <c r="K638" s="2"/>
    </row>
    <row r="639" spans="9:11" x14ac:dyDescent="0.35">
      <c r="I639" s="2"/>
      <c r="K639" s="2"/>
    </row>
    <row r="640" spans="9:11" x14ac:dyDescent="0.35">
      <c r="I640" s="2"/>
      <c r="K640" s="2"/>
    </row>
    <row r="641" spans="9:11" x14ac:dyDescent="0.35">
      <c r="I641" s="2"/>
      <c r="K641" s="2"/>
    </row>
    <row r="642" spans="9:11" x14ac:dyDescent="0.35">
      <c r="I642" s="2"/>
      <c r="K642" s="2"/>
    </row>
    <row r="643" spans="9:11" x14ac:dyDescent="0.35">
      <c r="I643" s="2"/>
      <c r="K643" s="2"/>
    </row>
    <row r="644" spans="9:11" x14ac:dyDescent="0.35">
      <c r="I644" s="2"/>
      <c r="K644" s="2"/>
    </row>
    <row r="645" spans="9:11" x14ac:dyDescent="0.35">
      <c r="I645" s="2"/>
      <c r="K645" s="2"/>
    </row>
    <row r="646" spans="9:11" x14ac:dyDescent="0.35">
      <c r="I646" s="2"/>
      <c r="K646" s="2"/>
    </row>
    <row r="647" spans="9:11" x14ac:dyDescent="0.35">
      <c r="I647" s="2"/>
      <c r="K647" s="2"/>
    </row>
    <row r="648" spans="9:11" x14ac:dyDescent="0.35">
      <c r="I648" s="2"/>
      <c r="K648" s="2"/>
    </row>
    <row r="649" spans="9:11" x14ac:dyDescent="0.35">
      <c r="I649" s="2"/>
      <c r="K649" s="2"/>
    </row>
    <row r="650" spans="9:11" x14ac:dyDescent="0.35">
      <c r="I650" s="2"/>
      <c r="K650" s="2"/>
    </row>
    <row r="651" spans="9:11" x14ac:dyDescent="0.35">
      <c r="I651" s="2"/>
      <c r="K651" s="2"/>
    </row>
    <row r="652" spans="9:11" x14ac:dyDescent="0.35">
      <c r="I652" s="2"/>
      <c r="K652" s="2"/>
    </row>
    <row r="653" spans="9:11" x14ac:dyDescent="0.35">
      <c r="I653" s="2"/>
      <c r="K653" s="2"/>
    </row>
    <row r="654" spans="9:11" x14ac:dyDescent="0.35">
      <c r="I654" s="2"/>
      <c r="K654" s="2"/>
    </row>
    <row r="655" spans="9:11" x14ac:dyDescent="0.35">
      <c r="I655" s="2"/>
      <c r="K655" s="2"/>
    </row>
    <row r="656" spans="9:11" x14ac:dyDescent="0.35">
      <c r="I656" s="2"/>
      <c r="K656" s="2"/>
    </row>
    <row r="657" spans="9:11" x14ac:dyDescent="0.35">
      <c r="I657" s="2"/>
      <c r="K657" s="2"/>
    </row>
    <row r="658" spans="9:11" x14ac:dyDescent="0.35">
      <c r="I658" s="2"/>
      <c r="K658" s="2"/>
    </row>
    <row r="659" spans="9:11" x14ac:dyDescent="0.35">
      <c r="I659" s="2"/>
      <c r="K659" s="2"/>
    </row>
    <row r="660" spans="9:11" x14ac:dyDescent="0.35">
      <c r="I660" s="2"/>
      <c r="K660" s="2"/>
    </row>
    <row r="661" spans="9:11" x14ac:dyDescent="0.35">
      <c r="I661" s="2"/>
      <c r="K661" s="2"/>
    </row>
    <row r="662" spans="9:11" x14ac:dyDescent="0.35">
      <c r="I662" s="2"/>
      <c r="K662" s="2"/>
    </row>
    <row r="663" spans="9:11" x14ac:dyDescent="0.35">
      <c r="I663" s="2"/>
      <c r="K663" s="2"/>
    </row>
    <row r="664" spans="9:11" x14ac:dyDescent="0.35">
      <c r="I664" s="2"/>
      <c r="K664" s="2"/>
    </row>
    <row r="665" spans="9:11" x14ac:dyDescent="0.35">
      <c r="I665" s="2"/>
      <c r="K665" s="2"/>
    </row>
    <row r="666" spans="9:11" x14ac:dyDescent="0.35">
      <c r="I666" s="2"/>
      <c r="K666" s="2"/>
    </row>
    <row r="667" spans="9:11" x14ac:dyDescent="0.35">
      <c r="I667" s="2"/>
      <c r="K667" s="2"/>
    </row>
    <row r="668" spans="9:11" x14ac:dyDescent="0.35">
      <c r="I668" s="2"/>
      <c r="K668" s="2"/>
    </row>
    <row r="669" spans="9:11" x14ac:dyDescent="0.35">
      <c r="I669" s="2"/>
      <c r="K669" s="2"/>
    </row>
    <row r="670" spans="9:11" x14ac:dyDescent="0.35">
      <c r="I670" s="2"/>
      <c r="K670" s="2"/>
    </row>
    <row r="671" spans="9:11" x14ac:dyDescent="0.35">
      <c r="I671" s="2"/>
      <c r="K671" s="2"/>
    </row>
    <row r="672" spans="9:11" x14ac:dyDescent="0.35">
      <c r="I672" s="2"/>
      <c r="K672" s="2"/>
    </row>
    <row r="673" spans="9:11" x14ac:dyDescent="0.35">
      <c r="I673" s="2"/>
      <c r="K673" s="2"/>
    </row>
    <row r="674" spans="9:11" x14ac:dyDescent="0.35">
      <c r="I674" s="2"/>
      <c r="K674" s="2"/>
    </row>
    <row r="675" spans="9:11" x14ac:dyDescent="0.35">
      <c r="I675" s="2"/>
      <c r="K675" s="2"/>
    </row>
    <row r="676" spans="9:11" x14ac:dyDescent="0.35">
      <c r="I676" s="2"/>
      <c r="K676" s="2"/>
    </row>
    <row r="677" spans="9:11" x14ac:dyDescent="0.35">
      <c r="I677" s="2"/>
      <c r="K677" s="2"/>
    </row>
    <row r="678" spans="9:11" x14ac:dyDescent="0.35">
      <c r="I678" s="2"/>
      <c r="K678" s="2"/>
    </row>
    <row r="679" spans="9:11" x14ac:dyDescent="0.35">
      <c r="I679" s="2"/>
      <c r="K679" s="2"/>
    </row>
    <row r="680" spans="9:11" x14ac:dyDescent="0.35">
      <c r="I680" s="2"/>
      <c r="K680" s="2"/>
    </row>
    <row r="681" spans="9:11" x14ac:dyDescent="0.35">
      <c r="I681" s="2"/>
      <c r="K681" s="2"/>
    </row>
    <row r="682" spans="9:11" x14ac:dyDescent="0.35">
      <c r="I682" s="2"/>
      <c r="K682" s="2"/>
    </row>
    <row r="683" spans="9:11" x14ac:dyDescent="0.35">
      <c r="I683" s="2"/>
      <c r="K683" s="2"/>
    </row>
    <row r="684" spans="9:11" x14ac:dyDescent="0.35">
      <c r="I684" s="2"/>
      <c r="K684" s="2"/>
    </row>
    <row r="685" spans="9:11" x14ac:dyDescent="0.35">
      <c r="I685" s="2"/>
      <c r="K685" s="2"/>
    </row>
    <row r="686" spans="9:11" x14ac:dyDescent="0.35">
      <c r="I686" s="2"/>
      <c r="K686" s="2"/>
    </row>
    <row r="687" spans="9:11" x14ac:dyDescent="0.35">
      <c r="I687" s="2"/>
      <c r="K687" s="2"/>
    </row>
    <row r="688" spans="9:11" x14ac:dyDescent="0.35">
      <c r="I688" s="2"/>
      <c r="K688" s="2"/>
    </row>
    <row r="689" spans="9:11" x14ac:dyDescent="0.35">
      <c r="I689" s="2"/>
      <c r="K689" s="2"/>
    </row>
    <row r="690" spans="9:11" x14ac:dyDescent="0.35">
      <c r="I690" s="2"/>
      <c r="K690" s="2"/>
    </row>
    <row r="691" spans="9:11" x14ac:dyDescent="0.35">
      <c r="I691" s="2"/>
      <c r="K691" s="2"/>
    </row>
    <row r="692" spans="9:11" x14ac:dyDescent="0.35">
      <c r="I692" s="2"/>
      <c r="K692" s="2"/>
    </row>
    <row r="693" spans="9:11" x14ac:dyDescent="0.35">
      <c r="I693" s="2"/>
      <c r="K693" s="2"/>
    </row>
    <row r="694" spans="9:11" x14ac:dyDescent="0.35">
      <c r="I694" s="2"/>
      <c r="K694" s="2"/>
    </row>
    <row r="695" spans="9:11" x14ac:dyDescent="0.35">
      <c r="I695" s="2"/>
      <c r="K695" s="2"/>
    </row>
    <row r="696" spans="9:11" x14ac:dyDescent="0.35">
      <c r="I696" s="2"/>
      <c r="K696" s="2"/>
    </row>
    <row r="697" spans="9:11" x14ac:dyDescent="0.35">
      <c r="I697" s="2"/>
      <c r="K697" s="2"/>
    </row>
    <row r="698" spans="9:11" x14ac:dyDescent="0.35">
      <c r="I698" s="2"/>
      <c r="K698" s="2"/>
    </row>
    <row r="699" spans="9:11" x14ac:dyDescent="0.35">
      <c r="I699" s="2"/>
      <c r="K699" s="2"/>
    </row>
    <row r="700" spans="9:11" x14ac:dyDescent="0.35">
      <c r="I700" s="2"/>
      <c r="K700" s="2"/>
    </row>
    <row r="701" spans="9:11" x14ac:dyDescent="0.35">
      <c r="I701" s="2"/>
      <c r="K701" s="2"/>
    </row>
    <row r="702" spans="9:11" x14ac:dyDescent="0.35">
      <c r="I702" s="2"/>
      <c r="K702" s="2"/>
    </row>
    <row r="703" spans="9:11" x14ac:dyDescent="0.35">
      <c r="I703" s="2"/>
      <c r="K703" s="2"/>
    </row>
    <row r="704" spans="9:11" x14ac:dyDescent="0.35">
      <c r="I704" s="2"/>
      <c r="K704" s="2"/>
    </row>
    <row r="705" spans="9:11" x14ac:dyDescent="0.35">
      <c r="I705" s="2"/>
      <c r="K705" s="2"/>
    </row>
    <row r="706" spans="9:11" x14ac:dyDescent="0.35">
      <c r="I706" s="2"/>
      <c r="K706" s="2"/>
    </row>
    <row r="707" spans="9:11" x14ac:dyDescent="0.35">
      <c r="I707" s="2"/>
      <c r="K707" s="2"/>
    </row>
    <row r="708" spans="9:11" x14ac:dyDescent="0.35">
      <c r="I708" s="2"/>
      <c r="K708" s="2"/>
    </row>
    <row r="709" spans="9:11" x14ac:dyDescent="0.35">
      <c r="I709" s="2"/>
      <c r="K709" s="2"/>
    </row>
    <row r="710" spans="9:11" x14ac:dyDescent="0.35">
      <c r="I710" s="2"/>
      <c r="K710" s="2"/>
    </row>
    <row r="711" spans="9:11" x14ac:dyDescent="0.35">
      <c r="I711" s="2"/>
      <c r="K711" s="2"/>
    </row>
    <row r="712" spans="9:11" x14ac:dyDescent="0.35">
      <c r="I712" s="2"/>
      <c r="K712" s="2"/>
    </row>
    <row r="713" spans="9:11" x14ac:dyDescent="0.35">
      <c r="I713" s="2"/>
      <c r="K713" s="2"/>
    </row>
    <row r="714" spans="9:11" x14ac:dyDescent="0.35">
      <c r="I714" s="2"/>
      <c r="K714" s="2"/>
    </row>
    <row r="715" spans="9:11" x14ac:dyDescent="0.35">
      <c r="I715" s="2"/>
      <c r="K715" s="2"/>
    </row>
    <row r="716" spans="9:11" x14ac:dyDescent="0.35">
      <c r="I716" s="2"/>
      <c r="K716" s="2"/>
    </row>
    <row r="717" spans="9:11" x14ac:dyDescent="0.35">
      <c r="I717" s="2"/>
      <c r="K717" s="2"/>
    </row>
    <row r="718" spans="9:11" x14ac:dyDescent="0.35">
      <c r="I718" s="2"/>
      <c r="K718" s="2"/>
    </row>
    <row r="719" spans="9:11" x14ac:dyDescent="0.35">
      <c r="I719" s="2"/>
      <c r="K719" s="2"/>
    </row>
    <row r="720" spans="9:11" x14ac:dyDescent="0.35">
      <c r="I720" s="2"/>
      <c r="K720" s="2"/>
    </row>
    <row r="721" spans="9:11" x14ac:dyDescent="0.35">
      <c r="I721" s="2"/>
      <c r="K721" s="2"/>
    </row>
    <row r="722" spans="9:11" x14ac:dyDescent="0.35">
      <c r="I722" s="2"/>
      <c r="K722" s="2"/>
    </row>
    <row r="723" spans="9:11" x14ac:dyDescent="0.35">
      <c r="I723" s="2"/>
      <c r="K723" s="2"/>
    </row>
    <row r="724" spans="9:11" x14ac:dyDescent="0.35">
      <c r="I724" s="2"/>
      <c r="K724" s="2"/>
    </row>
    <row r="725" spans="9:11" x14ac:dyDescent="0.35">
      <c r="I725" s="2"/>
      <c r="K725" s="2"/>
    </row>
    <row r="726" spans="9:11" x14ac:dyDescent="0.35">
      <c r="I726" s="2"/>
      <c r="K726" s="2"/>
    </row>
    <row r="727" spans="9:11" x14ac:dyDescent="0.35">
      <c r="I727" s="2"/>
      <c r="K727" s="2"/>
    </row>
    <row r="728" spans="9:11" x14ac:dyDescent="0.35">
      <c r="I728" s="2"/>
      <c r="K728" s="2"/>
    </row>
    <row r="729" spans="9:11" x14ac:dyDescent="0.35">
      <c r="I729" s="2"/>
      <c r="K729" s="2"/>
    </row>
    <row r="730" spans="9:11" x14ac:dyDescent="0.35">
      <c r="I730" s="2"/>
      <c r="K730" s="2"/>
    </row>
    <row r="731" spans="9:11" x14ac:dyDescent="0.35">
      <c r="I731" s="2"/>
      <c r="K731" s="2"/>
    </row>
    <row r="732" spans="9:11" x14ac:dyDescent="0.35">
      <c r="I732" s="2"/>
      <c r="K732" s="2"/>
    </row>
    <row r="733" spans="9:11" x14ac:dyDescent="0.35">
      <c r="I733" s="2"/>
      <c r="K733" s="2"/>
    </row>
    <row r="734" spans="9:11" x14ac:dyDescent="0.35">
      <c r="I734" s="2"/>
      <c r="K734" s="2"/>
    </row>
    <row r="735" spans="9:11" x14ac:dyDescent="0.35">
      <c r="I735" s="2"/>
      <c r="K735" s="2"/>
    </row>
    <row r="736" spans="9:11" x14ac:dyDescent="0.35">
      <c r="I736" s="2"/>
      <c r="K736" s="2"/>
    </row>
    <row r="737" spans="9:11" x14ac:dyDescent="0.35">
      <c r="I737" s="2"/>
      <c r="K737" s="2"/>
    </row>
    <row r="738" spans="9:11" x14ac:dyDescent="0.35">
      <c r="I738" s="2"/>
      <c r="K738" s="2"/>
    </row>
    <row r="739" spans="9:11" x14ac:dyDescent="0.35">
      <c r="I739" s="2"/>
      <c r="K739" s="2"/>
    </row>
    <row r="740" spans="9:11" x14ac:dyDescent="0.35">
      <c r="I740" s="2"/>
      <c r="K740" s="2"/>
    </row>
    <row r="741" spans="9:11" x14ac:dyDescent="0.35">
      <c r="I741" s="2"/>
      <c r="K741" s="2"/>
    </row>
    <row r="742" spans="9:11" x14ac:dyDescent="0.35">
      <c r="I742" s="2"/>
      <c r="K742" s="2"/>
    </row>
    <row r="743" spans="9:11" x14ac:dyDescent="0.35">
      <c r="I743" s="2"/>
      <c r="K743" s="2"/>
    </row>
    <row r="744" spans="9:11" x14ac:dyDescent="0.35">
      <c r="I744" s="2"/>
      <c r="K744" s="2"/>
    </row>
    <row r="745" spans="9:11" x14ac:dyDescent="0.35">
      <c r="I745" s="2"/>
      <c r="K745" s="2"/>
    </row>
    <row r="746" spans="9:11" x14ac:dyDescent="0.35">
      <c r="I746" s="2"/>
      <c r="K746" s="2"/>
    </row>
    <row r="747" spans="9:11" x14ac:dyDescent="0.35">
      <c r="I747" s="2"/>
      <c r="K747" s="2"/>
    </row>
    <row r="748" spans="9:11" x14ac:dyDescent="0.35">
      <c r="I748" s="2"/>
      <c r="K748" s="2"/>
    </row>
    <row r="749" spans="9:11" x14ac:dyDescent="0.35">
      <c r="I749" s="2"/>
      <c r="K749" s="2"/>
    </row>
    <row r="750" spans="9:11" x14ac:dyDescent="0.35">
      <c r="I750" s="2"/>
      <c r="K750" s="2"/>
    </row>
    <row r="751" spans="9:11" x14ac:dyDescent="0.35">
      <c r="I751" s="2"/>
      <c r="K751" s="2"/>
    </row>
    <row r="752" spans="9:11" x14ac:dyDescent="0.35">
      <c r="I752" s="2"/>
      <c r="K752" s="2"/>
    </row>
    <row r="753" spans="9:11" x14ac:dyDescent="0.35">
      <c r="I753" s="2"/>
      <c r="K753" s="2"/>
    </row>
    <row r="754" spans="9:11" x14ac:dyDescent="0.35">
      <c r="I754" s="2"/>
      <c r="K754" s="2"/>
    </row>
    <row r="755" spans="9:11" x14ac:dyDescent="0.35">
      <c r="I755" s="2"/>
      <c r="K755" s="2"/>
    </row>
    <row r="756" spans="9:11" x14ac:dyDescent="0.35">
      <c r="I756" s="2"/>
      <c r="K756" s="2"/>
    </row>
    <row r="757" spans="9:11" x14ac:dyDescent="0.35">
      <c r="I757" s="2"/>
      <c r="K757" s="2"/>
    </row>
    <row r="758" spans="9:11" x14ac:dyDescent="0.35">
      <c r="I758" s="2"/>
      <c r="K758" s="2"/>
    </row>
    <row r="759" spans="9:11" x14ac:dyDescent="0.35">
      <c r="I759" s="2"/>
      <c r="K759" s="2"/>
    </row>
    <row r="760" spans="9:11" x14ac:dyDescent="0.35">
      <c r="I760" s="2"/>
      <c r="K760" s="2"/>
    </row>
    <row r="761" spans="9:11" x14ac:dyDescent="0.35">
      <c r="I761" s="2"/>
      <c r="K761" s="2"/>
    </row>
    <row r="762" spans="9:11" x14ac:dyDescent="0.35">
      <c r="I762" s="2"/>
      <c r="K762" s="2"/>
    </row>
    <row r="763" spans="9:11" x14ac:dyDescent="0.35">
      <c r="I763" s="2"/>
      <c r="K763" s="2"/>
    </row>
    <row r="764" spans="9:11" x14ac:dyDescent="0.35">
      <c r="I764" s="2"/>
      <c r="K764" s="2"/>
    </row>
    <row r="765" spans="9:11" x14ac:dyDescent="0.35">
      <c r="I765" s="2"/>
      <c r="K765" s="2"/>
    </row>
    <row r="766" spans="9:11" x14ac:dyDescent="0.35">
      <c r="I766" s="2"/>
      <c r="K766" s="2"/>
    </row>
    <row r="767" spans="9:11" x14ac:dyDescent="0.35">
      <c r="I767" s="2"/>
      <c r="K767" s="2"/>
    </row>
    <row r="768" spans="9:11" x14ac:dyDescent="0.35">
      <c r="I768" s="2"/>
      <c r="K768" s="2"/>
    </row>
    <row r="769" spans="9:11" x14ac:dyDescent="0.35">
      <c r="I769" s="2"/>
      <c r="K769" s="2"/>
    </row>
    <row r="770" spans="9:11" x14ac:dyDescent="0.35">
      <c r="I770" s="2"/>
      <c r="K770" s="2"/>
    </row>
    <row r="771" spans="9:11" x14ac:dyDescent="0.35">
      <c r="I771" s="2"/>
      <c r="K771" s="2"/>
    </row>
    <row r="772" spans="9:11" x14ac:dyDescent="0.35">
      <c r="I772" s="2"/>
      <c r="K772" s="2"/>
    </row>
    <row r="773" spans="9:11" x14ac:dyDescent="0.35">
      <c r="I773" s="2"/>
      <c r="K773" s="2"/>
    </row>
    <row r="774" spans="9:11" x14ac:dyDescent="0.35">
      <c r="I774" s="2"/>
      <c r="K774" s="2"/>
    </row>
    <row r="775" spans="9:11" x14ac:dyDescent="0.35">
      <c r="I775" s="2"/>
      <c r="K775" s="2"/>
    </row>
    <row r="776" spans="9:11" x14ac:dyDescent="0.35">
      <c r="I776" s="2"/>
      <c r="K776" s="2"/>
    </row>
    <row r="777" spans="9:11" x14ac:dyDescent="0.35">
      <c r="I777" s="2"/>
      <c r="K777" s="2"/>
    </row>
    <row r="778" spans="9:11" x14ac:dyDescent="0.35">
      <c r="I778" s="2"/>
      <c r="K778" s="2"/>
    </row>
    <row r="779" spans="9:11" x14ac:dyDescent="0.35">
      <c r="I779" s="2"/>
      <c r="K779" s="2"/>
    </row>
    <row r="780" spans="9:11" x14ac:dyDescent="0.35">
      <c r="I780" s="2"/>
      <c r="K780" s="2"/>
    </row>
    <row r="781" spans="9:11" x14ac:dyDescent="0.35">
      <c r="I781" s="2"/>
      <c r="K781" s="2"/>
    </row>
    <row r="782" spans="9:11" x14ac:dyDescent="0.35">
      <c r="I782" s="2"/>
      <c r="K782" s="2"/>
    </row>
    <row r="783" spans="9:11" x14ac:dyDescent="0.35">
      <c r="I783" s="2"/>
      <c r="K783" s="2"/>
    </row>
    <row r="784" spans="9:11" x14ac:dyDescent="0.35">
      <c r="I784" s="2"/>
      <c r="K784" s="2"/>
    </row>
    <row r="785" spans="9:11" x14ac:dyDescent="0.35">
      <c r="I785" s="2"/>
      <c r="K785" s="2"/>
    </row>
    <row r="786" spans="9:11" x14ac:dyDescent="0.35">
      <c r="I786" s="2"/>
      <c r="K786" s="2"/>
    </row>
    <row r="787" spans="9:11" x14ac:dyDescent="0.35">
      <c r="I787" s="2"/>
      <c r="K787" s="2"/>
    </row>
    <row r="788" spans="9:11" x14ac:dyDescent="0.35">
      <c r="I788" s="2"/>
      <c r="K788" s="2"/>
    </row>
    <row r="789" spans="9:11" x14ac:dyDescent="0.35">
      <c r="I789" s="2"/>
      <c r="K789" s="2"/>
    </row>
    <row r="790" spans="9:11" x14ac:dyDescent="0.35">
      <c r="I790" s="2"/>
      <c r="K790" s="2"/>
    </row>
    <row r="791" spans="9:11" x14ac:dyDescent="0.35">
      <c r="I791" s="2"/>
      <c r="K791" s="2"/>
    </row>
    <row r="792" spans="9:11" x14ac:dyDescent="0.35">
      <c r="I792" s="2"/>
      <c r="K792" s="2"/>
    </row>
    <row r="793" spans="9:11" x14ac:dyDescent="0.35">
      <c r="I793" s="2"/>
      <c r="K793" s="2"/>
    </row>
    <row r="794" spans="9:11" x14ac:dyDescent="0.35">
      <c r="I794" s="2"/>
      <c r="K794" s="2"/>
    </row>
    <row r="795" spans="9:11" x14ac:dyDescent="0.35">
      <c r="I795" s="2"/>
      <c r="K795" s="2"/>
    </row>
    <row r="796" spans="9:11" x14ac:dyDescent="0.35">
      <c r="I796" s="2"/>
      <c r="K796" s="2"/>
    </row>
    <row r="797" spans="9:11" x14ac:dyDescent="0.35">
      <c r="I797" s="2"/>
      <c r="K797" s="2"/>
    </row>
    <row r="798" spans="9:11" x14ac:dyDescent="0.35">
      <c r="I798" s="2"/>
      <c r="K798" s="2"/>
    </row>
    <row r="799" spans="9:11" x14ac:dyDescent="0.35">
      <c r="I799" s="2"/>
      <c r="K799" s="2"/>
    </row>
    <row r="800" spans="9:11" x14ac:dyDescent="0.35">
      <c r="I800" s="2"/>
      <c r="K800" s="2"/>
    </row>
    <row r="801" spans="9:11" x14ac:dyDescent="0.35">
      <c r="I801" s="2"/>
      <c r="K801" s="2"/>
    </row>
    <row r="802" spans="9:11" x14ac:dyDescent="0.35">
      <c r="I802" s="2"/>
      <c r="K802" s="2"/>
    </row>
    <row r="803" spans="9:11" x14ac:dyDescent="0.35">
      <c r="I803" s="2"/>
      <c r="K803" s="2"/>
    </row>
    <row r="804" spans="9:11" x14ac:dyDescent="0.35">
      <c r="I804" s="2"/>
      <c r="K804" s="2"/>
    </row>
    <row r="805" spans="9:11" x14ac:dyDescent="0.35">
      <c r="I805" s="2"/>
      <c r="K805" s="2"/>
    </row>
    <row r="806" spans="9:11" x14ac:dyDescent="0.35">
      <c r="I806" s="2"/>
      <c r="K806" s="2"/>
    </row>
    <row r="807" spans="9:11" x14ac:dyDescent="0.35">
      <c r="I807" s="2"/>
      <c r="K807" s="2"/>
    </row>
    <row r="808" spans="9:11" x14ac:dyDescent="0.35">
      <c r="I808" s="2"/>
      <c r="K808" s="2"/>
    </row>
    <row r="809" spans="9:11" x14ac:dyDescent="0.35">
      <c r="I809" s="2"/>
      <c r="K809" s="2"/>
    </row>
    <row r="810" spans="9:11" x14ac:dyDescent="0.35">
      <c r="I810" s="2"/>
      <c r="K810" s="2"/>
    </row>
    <row r="811" spans="9:11" x14ac:dyDescent="0.35">
      <c r="I811" s="2"/>
      <c r="K811" s="2"/>
    </row>
    <row r="812" spans="9:11" x14ac:dyDescent="0.35">
      <c r="I812" s="2"/>
      <c r="K812" s="2"/>
    </row>
    <row r="813" spans="9:11" x14ac:dyDescent="0.35">
      <c r="I813" s="2"/>
      <c r="K813" s="2"/>
    </row>
    <row r="814" spans="9:11" x14ac:dyDescent="0.35">
      <c r="I814" s="2"/>
      <c r="K814" s="2"/>
    </row>
    <row r="815" spans="9:11" x14ac:dyDescent="0.35">
      <c r="I815" s="2"/>
      <c r="K815" s="2"/>
    </row>
    <row r="816" spans="9:11" x14ac:dyDescent="0.35">
      <c r="I816" s="2"/>
      <c r="K816" s="2"/>
    </row>
    <row r="817" spans="9:11" x14ac:dyDescent="0.35">
      <c r="I817" s="2"/>
      <c r="K817" s="2"/>
    </row>
    <row r="818" spans="9:11" x14ac:dyDescent="0.35">
      <c r="I818" s="2"/>
      <c r="K818" s="2"/>
    </row>
    <row r="819" spans="9:11" x14ac:dyDescent="0.35">
      <c r="I819" s="2"/>
      <c r="K819" s="2"/>
    </row>
    <row r="820" spans="9:11" x14ac:dyDescent="0.35">
      <c r="I820" s="2"/>
      <c r="K820" s="2"/>
    </row>
    <row r="821" spans="9:11" x14ac:dyDescent="0.35">
      <c r="I821" s="2"/>
      <c r="K821" s="2"/>
    </row>
    <row r="822" spans="9:11" x14ac:dyDescent="0.35">
      <c r="I822" s="2"/>
      <c r="K822" s="2"/>
    </row>
    <row r="823" spans="9:11" x14ac:dyDescent="0.35">
      <c r="I823" s="2"/>
      <c r="K823" s="2"/>
    </row>
    <row r="824" spans="9:11" x14ac:dyDescent="0.35">
      <c r="I824" s="2"/>
      <c r="K824" s="2"/>
    </row>
    <row r="825" spans="9:11" x14ac:dyDescent="0.35">
      <c r="I825" s="2"/>
      <c r="K825" s="2"/>
    </row>
    <row r="826" spans="9:11" x14ac:dyDescent="0.35">
      <c r="I826" s="2"/>
      <c r="K826" s="2"/>
    </row>
    <row r="827" spans="9:11" x14ac:dyDescent="0.35">
      <c r="I827" s="2"/>
      <c r="K827" s="2"/>
    </row>
    <row r="828" spans="9:11" x14ac:dyDescent="0.35">
      <c r="I828" s="2"/>
      <c r="K828" s="2"/>
    </row>
    <row r="829" spans="9:11" x14ac:dyDescent="0.35">
      <c r="I829" s="2"/>
      <c r="K829" s="2"/>
    </row>
    <row r="830" spans="9:11" x14ac:dyDescent="0.35">
      <c r="I830" s="2"/>
      <c r="K830" s="2"/>
    </row>
    <row r="831" spans="9:11" x14ac:dyDescent="0.35">
      <c r="I831" s="2"/>
      <c r="K831" s="2"/>
    </row>
    <row r="832" spans="9:11" x14ac:dyDescent="0.35">
      <c r="I832" s="2"/>
      <c r="K832" s="2"/>
    </row>
    <row r="833" spans="9:11" x14ac:dyDescent="0.35">
      <c r="I833" s="2"/>
      <c r="K833" s="2"/>
    </row>
    <row r="834" spans="9:11" x14ac:dyDescent="0.35">
      <c r="I834" s="2"/>
      <c r="K834" s="2"/>
    </row>
    <row r="835" spans="9:11" x14ac:dyDescent="0.35">
      <c r="I835" s="2"/>
      <c r="K835" s="2"/>
    </row>
    <row r="836" spans="9:11" x14ac:dyDescent="0.35">
      <c r="I836" s="2"/>
      <c r="K836" s="2"/>
    </row>
    <row r="837" spans="9:11" x14ac:dyDescent="0.35">
      <c r="I837" s="2"/>
      <c r="K837" s="2"/>
    </row>
    <row r="838" spans="9:11" x14ac:dyDescent="0.35">
      <c r="I838" s="2"/>
      <c r="K838" s="2"/>
    </row>
    <row r="839" spans="9:11" x14ac:dyDescent="0.35">
      <c r="I839" s="2"/>
      <c r="K839" s="2"/>
    </row>
    <row r="840" spans="9:11" x14ac:dyDescent="0.35">
      <c r="I840" s="2"/>
      <c r="K840" s="2"/>
    </row>
    <row r="841" spans="9:11" x14ac:dyDescent="0.35">
      <c r="I841" s="2"/>
      <c r="K841" s="2"/>
    </row>
    <row r="842" spans="9:11" x14ac:dyDescent="0.35">
      <c r="I842" s="2"/>
      <c r="K842" s="2"/>
    </row>
    <row r="843" spans="9:11" x14ac:dyDescent="0.35">
      <c r="I843" s="2"/>
      <c r="K843" s="2"/>
    </row>
    <row r="844" spans="9:11" x14ac:dyDescent="0.35">
      <c r="I844" s="2"/>
      <c r="K844" s="2"/>
    </row>
    <row r="845" spans="9:11" x14ac:dyDescent="0.35">
      <c r="I845" s="2"/>
      <c r="K845" s="2"/>
    </row>
    <row r="846" spans="9:11" x14ac:dyDescent="0.35">
      <c r="I846" s="2"/>
      <c r="K846" s="2"/>
    </row>
    <row r="847" spans="9:11" x14ac:dyDescent="0.35">
      <c r="I847" s="2"/>
      <c r="K847" s="2"/>
    </row>
    <row r="848" spans="9:11" x14ac:dyDescent="0.35">
      <c r="I848" s="2"/>
      <c r="K848" s="2"/>
    </row>
    <row r="849" spans="9:11" x14ac:dyDescent="0.35">
      <c r="I849" s="2"/>
      <c r="K849" s="2"/>
    </row>
    <row r="850" spans="9:11" x14ac:dyDescent="0.35">
      <c r="I850" s="2"/>
      <c r="K850" s="2"/>
    </row>
    <row r="851" spans="9:11" x14ac:dyDescent="0.35">
      <c r="I851" s="2"/>
      <c r="K851" s="2"/>
    </row>
    <row r="852" spans="9:11" x14ac:dyDescent="0.35">
      <c r="I852" s="2"/>
      <c r="K852" s="2"/>
    </row>
    <row r="853" spans="9:11" x14ac:dyDescent="0.35">
      <c r="I853" s="2"/>
      <c r="K853" s="2"/>
    </row>
    <row r="854" spans="9:11" x14ac:dyDescent="0.35">
      <c r="I854" s="2"/>
      <c r="K854" s="2"/>
    </row>
    <row r="855" spans="9:11" x14ac:dyDescent="0.35">
      <c r="I855" s="2"/>
      <c r="K855" s="2"/>
    </row>
    <row r="856" spans="9:11" x14ac:dyDescent="0.35">
      <c r="I856" s="2"/>
      <c r="K856" s="2"/>
    </row>
    <row r="857" spans="9:11" x14ac:dyDescent="0.35">
      <c r="I857" s="2"/>
      <c r="K857" s="2"/>
    </row>
    <row r="858" spans="9:11" x14ac:dyDescent="0.35">
      <c r="I858" s="2"/>
      <c r="K858" s="2"/>
    </row>
    <row r="859" spans="9:11" x14ac:dyDescent="0.35">
      <c r="I859" s="2"/>
      <c r="K859" s="2"/>
    </row>
    <row r="860" spans="9:11" x14ac:dyDescent="0.35">
      <c r="I860" s="2"/>
      <c r="K860" s="2"/>
    </row>
    <row r="861" spans="9:11" x14ac:dyDescent="0.35">
      <c r="I861" s="2"/>
      <c r="K861" s="2"/>
    </row>
    <row r="862" spans="9:11" x14ac:dyDescent="0.35">
      <c r="I862" s="2"/>
      <c r="K862" s="2"/>
    </row>
    <row r="863" spans="9:11" x14ac:dyDescent="0.35">
      <c r="I863" s="2"/>
      <c r="K863" s="2"/>
    </row>
    <row r="864" spans="9:11" x14ac:dyDescent="0.35">
      <c r="I864" s="2"/>
      <c r="K864" s="2"/>
    </row>
    <row r="865" spans="9:11" x14ac:dyDescent="0.35">
      <c r="I865" s="2"/>
      <c r="K865" s="2"/>
    </row>
    <row r="866" spans="9:11" x14ac:dyDescent="0.35">
      <c r="I866" s="2"/>
      <c r="K866" s="2"/>
    </row>
    <row r="867" spans="9:11" x14ac:dyDescent="0.35">
      <c r="I867" s="2"/>
      <c r="K867" s="2"/>
    </row>
    <row r="868" spans="9:11" x14ac:dyDescent="0.35">
      <c r="I868" s="2"/>
      <c r="K868" s="2"/>
    </row>
    <row r="869" spans="9:11" x14ac:dyDescent="0.35">
      <c r="I869" s="2"/>
      <c r="K869" s="2"/>
    </row>
    <row r="870" spans="9:11" x14ac:dyDescent="0.35">
      <c r="I870" s="2"/>
      <c r="K870" s="2"/>
    </row>
    <row r="871" spans="9:11" x14ac:dyDescent="0.35">
      <c r="I871" s="2"/>
      <c r="K871" s="2"/>
    </row>
    <row r="872" spans="9:11" x14ac:dyDescent="0.35">
      <c r="I872" s="2"/>
      <c r="K872" s="2"/>
    </row>
    <row r="873" spans="9:11" x14ac:dyDescent="0.35">
      <c r="I873" s="2"/>
      <c r="K873" s="2"/>
    </row>
    <row r="874" spans="9:11" x14ac:dyDescent="0.35">
      <c r="I874" s="2"/>
      <c r="K874" s="2"/>
    </row>
    <row r="875" spans="9:11" x14ac:dyDescent="0.35">
      <c r="I875" s="2"/>
      <c r="K875" s="2"/>
    </row>
    <row r="876" spans="9:11" x14ac:dyDescent="0.35">
      <c r="I876" s="2"/>
      <c r="K876" s="2"/>
    </row>
    <row r="877" spans="9:11" x14ac:dyDescent="0.35">
      <c r="I877" s="2"/>
      <c r="K877" s="2"/>
    </row>
    <row r="878" spans="9:11" x14ac:dyDescent="0.35">
      <c r="I878" s="2"/>
      <c r="K878" s="2"/>
    </row>
    <row r="879" spans="9:11" x14ac:dyDescent="0.35">
      <c r="I879" s="2"/>
      <c r="K879" s="2"/>
    </row>
    <row r="880" spans="9:11" x14ac:dyDescent="0.35">
      <c r="I880" s="2"/>
      <c r="K880" s="2"/>
    </row>
    <row r="881" spans="9:11" x14ac:dyDescent="0.35">
      <c r="I881" s="2"/>
      <c r="K881" s="2"/>
    </row>
    <row r="882" spans="9:11" x14ac:dyDescent="0.35">
      <c r="I882" s="2"/>
      <c r="K882" s="2"/>
    </row>
    <row r="883" spans="9:11" x14ac:dyDescent="0.35">
      <c r="I883" s="2"/>
      <c r="K883" s="2"/>
    </row>
    <row r="884" spans="9:11" x14ac:dyDescent="0.35">
      <c r="I884" s="2"/>
      <c r="K884" s="2"/>
    </row>
    <row r="885" spans="9:11" x14ac:dyDescent="0.35">
      <c r="I885" s="2"/>
      <c r="K885" s="2"/>
    </row>
    <row r="886" spans="9:11" x14ac:dyDescent="0.35">
      <c r="I886" s="2"/>
      <c r="K886" s="2"/>
    </row>
    <row r="887" spans="9:11" x14ac:dyDescent="0.35">
      <c r="I887" s="2"/>
      <c r="K887" s="2"/>
    </row>
    <row r="888" spans="9:11" x14ac:dyDescent="0.35">
      <c r="I888" s="2"/>
      <c r="K888" s="2"/>
    </row>
    <row r="889" spans="9:11" x14ac:dyDescent="0.35">
      <c r="I889" s="2"/>
      <c r="K889" s="2"/>
    </row>
    <row r="890" spans="9:11" x14ac:dyDescent="0.35">
      <c r="I890" s="2"/>
      <c r="K890" s="2"/>
    </row>
    <row r="891" spans="9:11" x14ac:dyDescent="0.35">
      <c r="I891" s="2"/>
      <c r="K891" s="2"/>
    </row>
    <row r="892" spans="9:11" x14ac:dyDescent="0.35">
      <c r="I892" s="2"/>
      <c r="K892" s="2"/>
    </row>
    <row r="893" spans="9:11" x14ac:dyDescent="0.35">
      <c r="I893" s="2"/>
      <c r="K893" s="2"/>
    </row>
    <row r="894" spans="9:11" x14ac:dyDescent="0.35">
      <c r="I894" s="2"/>
      <c r="K894" s="2"/>
    </row>
    <row r="895" spans="9:11" x14ac:dyDescent="0.35">
      <c r="I895" s="2"/>
      <c r="K895" s="2"/>
    </row>
    <row r="896" spans="9:11" x14ac:dyDescent="0.35">
      <c r="I896" s="2"/>
      <c r="K896" s="2"/>
    </row>
    <row r="897" spans="9:11" x14ac:dyDescent="0.35">
      <c r="I897" s="2"/>
      <c r="K897" s="2"/>
    </row>
    <row r="898" spans="9:11" x14ac:dyDescent="0.35">
      <c r="I898" s="2"/>
      <c r="K898" s="2"/>
    </row>
    <row r="899" spans="9:11" x14ac:dyDescent="0.35">
      <c r="I899" s="2"/>
      <c r="K899" s="2"/>
    </row>
    <row r="900" spans="9:11" x14ac:dyDescent="0.35">
      <c r="I900" s="2"/>
      <c r="K900" s="2"/>
    </row>
    <row r="901" spans="9:11" x14ac:dyDescent="0.35">
      <c r="I901" s="2"/>
      <c r="K901" s="2"/>
    </row>
    <row r="902" spans="9:11" x14ac:dyDescent="0.35">
      <c r="I902" s="2"/>
      <c r="K902" s="2"/>
    </row>
    <row r="903" spans="9:11" x14ac:dyDescent="0.35">
      <c r="I903" s="2"/>
      <c r="K903" s="2"/>
    </row>
    <row r="904" spans="9:11" x14ac:dyDescent="0.35">
      <c r="I904" s="2"/>
      <c r="K904" s="2"/>
    </row>
    <row r="905" spans="9:11" x14ac:dyDescent="0.35">
      <c r="I905" s="2"/>
      <c r="K905" s="2"/>
    </row>
    <row r="906" spans="9:11" x14ac:dyDescent="0.35">
      <c r="I906" s="2"/>
      <c r="K906" s="2"/>
    </row>
    <row r="907" spans="9:11" x14ac:dyDescent="0.35">
      <c r="I907" s="2"/>
      <c r="K907" s="2"/>
    </row>
    <row r="908" spans="9:11" x14ac:dyDescent="0.35">
      <c r="I908" s="2"/>
      <c r="K908" s="2"/>
    </row>
    <row r="909" spans="9:11" x14ac:dyDescent="0.35">
      <c r="I909" s="2"/>
      <c r="K909" s="2"/>
    </row>
    <row r="910" spans="9:11" x14ac:dyDescent="0.35">
      <c r="I910" s="2"/>
      <c r="K910" s="2"/>
    </row>
    <row r="911" spans="9:11" x14ac:dyDescent="0.35">
      <c r="I911" s="2"/>
      <c r="K911" s="2"/>
    </row>
    <row r="912" spans="9:11" x14ac:dyDescent="0.35">
      <c r="I912" s="2"/>
      <c r="K912" s="2"/>
    </row>
    <row r="913" spans="9:11" x14ac:dyDescent="0.35">
      <c r="I913" s="2"/>
      <c r="K913" s="2"/>
    </row>
    <row r="914" spans="9:11" x14ac:dyDescent="0.35">
      <c r="I914" s="2"/>
      <c r="K914" s="2"/>
    </row>
    <row r="915" spans="9:11" x14ac:dyDescent="0.35">
      <c r="I915" s="2"/>
      <c r="K915" s="2"/>
    </row>
    <row r="916" spans="9:11" x14ac:dyDescent="0.35">
      <c r="I916" s="2"/>
      <c r="K916" s="2"/>
    </row>
    <row r="917" spans="9:11" x14ac:dyDescent="0.35">
      <c r="I917" s="2"/>
      <c r="K917" s="2"/>
    </row>
    <row r="918" spans="9:11" x14ac:dyDescent="0.35">
      <c r="I918" s="2"/>
      <c r="K918" s="2"/>
    </row>
    <row r="919" spans="9:11" x14ac:dyDescent="0.35">
      <c r="I919" s="2"/>
      <c r="K919" s="2"/>
    </row>
    <row r="920" spans="9:11" x14ac:dyDescent="0.35">
      <c r="I920" s="2"/>
      <c r="K920" s="2"/>
    </row>
    <row r="921" spans="9:11" x14ac:dyDescent="0.35">
      <c r="I921" s="2"/>
      <c r="K921" s="2"/>
    </row>
    <row r="922" spans="9:11" x14ac:dyDescent="0.35">
      <c r="I922" s="2"/>
      <c r="K922" s="2"/>
    </row>
    <row r="923" spans="9:11" x14ac:dyDescent="0.35">
      <c r="I923" s="2"/>
      <c r="K923" s="2"/>
    </row>
    <row r="924" spans="9:11" x14ac:dyDescent="0.35">
      <c r="I924" s="2"/>
      <c r="K924" s="2"/>
    </row>
    <row r="925" spans="9:11" x14ac:dyDescent="0.35">
      <c r="I925" s="2"/>
      <c r="K925" s="2"/>
    </row>
    <row r="926" spans="9:11" x14ac:dyDescent="0.35">
      <c r="I926" s="2"/>
      <c r="K926" s="2"/>
    </row>
    <row r="927" spans="9:11" x14ac:dyDescent="0.35">
      <c r="I927" s="2"/>
      <c r="K927" s="2"/>
    </row>
    <row r="928" spans="9:11" x14ac:dyDescent="0.35">
      <c r="I928" s="2"/>
      <c r="K928" s="2"/>
    </row>
    <row r="929" spans="9:11" x14ac:dyDescent="0.35">
      <c r="I929" s="2"/>
      <c r="K929" s="2"/>
    </row>
    <row r="930" spans="9:11" x14ac:dyDescent="0.35">
      <c r="I930" s="2"/>
      <c r="K930" s="2"/>
    </row>
    <row r="931" spans="9:11" x14ac:dyDescent="0.35">
      <c r="I931" s="2"/>
      <c r="K931" s="2"/>
    </row>
    <row r="932" spans="9:11" x14ac:dyDescent="0.35">
      <c r="I932" s="2"/>
      <c r="K932" s="2"/>
    </row>
    <row r="933" spans="9:11" x14ac:dyDescent="0.35">
      <c r="I933" s="2"/>
      <c r="K933" s="2"/>
    </row>
    <row r="934" spans="9:11" x14ac:dyDescent="0.35">
      <c r="I934" s="2"/>
      <c r="K934" s="2"/>
    </row>
    <row r="935" spans="9:11" x14ac:dyDescent="0.35">
      <c r="I935" s="2"/>
      <c r="K935" s="2"/>
    </row>
    <row r="936" spans="9:11" x14ac:dyDescent="0.35">
      <c r="I936" s="2"/>
      <c r="K936" s="2"/>
    </row>
    <row r="937" spans="9:11" x14ac:dyDescent="0.35">
      <c r="I937" s="2"/>
      <c r="K937" s="2"/>
    </row>
    <row r="938" spans="9:11" x14ac:dyDescent="0.35">
      <c r="I938" s="2"/>
      <c r="K938" s="2"/>
    </row>
    <row r="939" spans="9:11" x14ac:dyDescent="0.35">
      <c r="I939" s="2"/>
      <c r="K939" s="2"/>
    </row>
    <row r="940" spans="9:11" x14ac:dyDescent="0.35">
      <c r="I940" s="2"/>
      <c r="K940" s="2"/>
    </row>
    <row r="941" spans="9:11" x14ac:dyDescent="0.35">
      <c r="I941" s="2"/>
      <c r="K941" s="2"/>
    </row>
    <row r="942" spans="9:11" x14ac:dyDescent="0.35">
      <c r="I942" s="2"/>
      <c r="K942" s="2"/>
    </row>
    <row r="943" spans="9:11" x14ac:dyDescent="0.35">
      <c r="I943" s="2"/>
      <c r="K943" s="2"/>
    </row>
    <row r="944" spans="9:11" x14ac:dyDescent="0.35">
      <c r="I944" s="2"/>
      <c r="K944" s="2"/>
    </row>
    <row r="945" spans="9:11" x14ac:dyDescent="0.35">
      <c r="I945" s="2"/>
      <c r="K945" s="2"/>
    </row>
    <row r="946" spans="9:11" x14ac:dyDescent="0.35">
      <c r="I946" s="2"/>
      <c r="K946" s="2"/>
    </row>
    <row r="947" spans="9:11" x14ac:dyDescent="0.35">
      <c r="I947" s="2"/>
      <c r="K947" s="2"/>
    </row>
    <row r="948" spans="9:11" x14ac:dyDescent="0.35">
      <c r="I948" s="2"/>
      <c r="K948" s="2"/>
    </row>
    <row r="949" spans="9:11" x14ac:dyDescent="0.35">
      <c r="I949" s="2"/>
      <c r="K949" s="2"/>
    </row>
    <row r="950" spans="9:11" x14ac:dyDescent="0.35">
      <c r="I950" s="2"/>
      <c r="K950" s="2"/>
    </row>
    <row r="951" spans="9:11" x14ac:dyDescent="0.35">
      <c r="I951" s="2"/>
      <c r="K951" s="2"/>
    </row>
    <row r="952" spans="9:11" x14ac:dyDescent="0.35">
      <c r="I952" s="2"/>
      <c r="K952" s="2"/>
    </row>
    <row r="953" spans="9:11" x14ac:dyDescent="0.35">
      <c r="I953" s="2"/>
      <c r="K953" s="2"/>
    </row>
    <row r="954" spans="9:11" x14ac:dyDescent="0.35">
      <c r="I954" s="2"/>
      <c r="K954" s="2"/>
    </row>
    <row r="955" spans="9:11" x14ac:dyDescent="0.35">
      <c r="I955" s="2"/>
      <c r="K955" s="2"/>
    </row>
    <row r="956" spans="9:11" x14ac:dyDescent="0.35">
      <c r="I956" s="2"/>
      <c r="K956" s="2"/>
    </row>
    <row r="957" spans="9:11" x14ac:dyDescent="0.35">
      <c r="I957" s="2"/>
      <c r="K957" s="2"/>
    </row>
    <row r="958" spans="9:11" x14ac:dyDescent="0.35">
      <c r="I958" s="2"/>
      <c r="K958" s="2"/>
    </row>
    <row r="959" spans="9:11" x14ac:dyDescent="0.35">
      <c r="I959" s="2"/>
      <c r="K959" s="2"/>
    </row>
    <row r="960" spans="9:11" x14ac:dyDescent="0.35">
      <c r="I960" s="2"/>
      <c r="K960" s="2"/>
    </row>
    <row r="961" spans="9:11" x14ac:dyDescent="0.35">
      <c r="I961" s="2"/>
      <c r="K961" s="2"/>
    </row>
    <row r="962" spans="9:11" x14ac:dyDescent="0.35">
      <c r="I962" s="2"/>
      <c r="K962" s="2"/>
    </row>
    <row r="963" spans="9:11" x14ac:dyDescent="0.35">
      <c r="I963" s="2"/>
      <c r="K963" s="2"/>
    </row>
    <row r="964" spans="9:11" x14ac:dyDescent="0.35">
      <c r="I964" s="2"/>
      <c r="K964" s="2"/>
    </row>
    <row r="965" spans="9:11" x14ac:dyDescent="0.35">
      <c r="I965" s="2"/>
      <c r="K965" s="2"/>
    </row>
    <row r="966" spans="9:11" x14ac:dyDescent="0.35">
      <c r="I966" s="2"/>
      <c r="K966" s="2"/>
    </row>
    <row r="967" spans="9:11" x14ac:dyDescent="0.35">
      <c r="I967" s="2"/>
      <c r="K967" s="2"/>
    </row>
    <row r="968" spans="9:11" x14ac:dyDescent="0.35">
      <c r="I968" s="2"/>
      <c r="K968" s="2"/>
    </row>
    <row r="969" spans="9:11" x14ac:dyDescent="0.35">
      <c r="I969" s="2"/>
      <c r="K969" s="2"/>
    </row>
    <row r="970" spans="9:11" x14ac:dyDescent="0.35">
      <c r="I970" s="2"/>
      <c r="K970" s="2"/>
    </row>
    <row r="971" spans="9:11" x14ac:dyDescent="0.35">
      <c r="I971" s="2"/>
      <c r="K971" s="2"/>
    </row>
    <row r="972" spans="9:11" x14ac:dyDescent="0.35">
      <c r="I972" s="2"/>
      <c r="K972" s="2"/>
    </row>
    <row r="973" spans="9:11" x14ac:dyDescent="0.35">
      <c r="I973" s="2"/>
      <c r="K973" s="2"/>
    </row>
    <row r="974" spans="9:11" x14ac:dyDescent="0.35">
      <c r="I974" s="2"/>
      <c r="K974" s="2"/>
    </row>
    <row r="975" spans="9:11" x14ac:dyDescent="0.35">
      <c r="I975" s="2"/>
      <c r="K975" s="2"/>
    </row>
    <row r="976" spans="9:11" x14ac:dyDescent="0.35">
      <c r="I976" s="2"/>
      <c r="K976" s="2"/>
    </row>
    <row r="977" spans="9:11" x14ac:dyDescent="0.35">
      <c r="I977" s="2"/>
      <c r="K977" s="2"/>
    </row>
    <row r="978" spans="9:11" x14ac:dyDescent="0.35">
      <c r="I978" s="2"/>
      <c r="K978" s="2"/>
    </row>
    <row r="979" spans="9:11" x14ac:dyDescent="0.35">
      <c r="I979" s="2"/>
      <c r="K979" s="2"/>
    </row>
    <row r="980" spans="9:11" x14ac:dyDescent="0.35">
      <c r="I980" s="2"/>
      <c r="K980" s="2"/>
    </row>
    <row r="981" spans="9:11" x14ac:dyDescent="0.35">
      <c r="I981" s="2"/>
      <c r="K981" s="2"/>
    </row>
    <row r="982" spans="9:11" x14ac:dyDescent="0.35">
      <c r="I982" s="2"/>
      <c r="K982" s="2"/>
    </row>
    <row r="983" spans="9:11" x14ac:dyDescent="0.35">
      <c r="I983" s="2"/>
      <c r="K983" s="2"/>
    </row>
    <row r="984" spans="9:11" x14ac:dyDescent="0.35">
      <c r="I984" s="2"/>
      <c r="K984" s="2"/>
    </row>
    <row r="985" spans="9:11" x14ac:dyDescent="0.35">
      <c r="I985" s="2"/>
      <c r="K985" s="2"/>
    </row>
    <row r="986" spans="9:11" x14ac:dyDescent="0.35">
      <c r="I986" s="2"/>
      <c r="K986" s="2"/>
    </row>
    <row r="987" spans="9:11" x14ac:dyDescent="0.35">
      <c r="I987" s="2"/>
      <c r="K987" s="2"/>
    </row>
    <row r="988" spans="9:11" x14ac:dyDescent="0.35">
      <c r="I988" s="2"/>
      <c r="K988" s="2"/>
    </row>
    <row r="989" spans="9:11" x14ac:dyDescent="0.35">
      <c r="I989" s="2"/>
      <c r="K989" s="2"/>
    </row>
    <row r="990" spans="9:11" x14ac:dyDescent="0.35">
      <c r="I990" s="2"/>
      <c r="K990" s="2"/>
    </row>
    <row r="991" spans="9:11" x14ac:dyDescent="0.35">
      <c r="I991" s="2"/>
      <c r="K991" s="2"/>
    </row>
    <row r="992" spans="9:11" x14ac:dyDescent="0.35">
      <c r="I992" s="2"/>
      <c r="K992" s="2"/>
    </row>
    <row r="993" spans="9:11" x14ac:dyDescent="0.35">
      <c r="I993" s="2"/>
      <c r="K993" s="2"/>
    </row>
    <row r="994" spans="9:11" x14ac:dyDescent="0.35">
      <c r="I994" s="2"/>
      <c r="K994" s="2"/>
    </row>
    <row r="995" spans="9:11" x14ac:dyDescent="0.35">
      <c r="I995" s="2"/>
      <c r="K995" s="2"/>
    </row>
    <row r="996" spans="9:11" x14ac:dyDescent="0.35">
      <c r="I996" s="2"/>
      <c r="K996" s="2"/>
    </row>
    <row r="997" spans="9:11" x14ac:dyDescent="0.35">
      <c r="I997" s="2"/>
      <c r="K997" s="2"/>
    </row>
    <row r="998" spans="9:11" x14ac:dyDescent="0.35">
      <c r="I998" s="2"/>
      <c r="K998" s="2"/>
    </row>
    <row r="999" spans="9:11" x14ac:dyDescent="0.35">
      <c r="I999" s="2"/>
      <c r="K999" s="2"/>
    </row>
    <row r="1000" spans="9:11" x14ac:dyDescent="0.35">
      <c r="I1000" s="2"/>
      <c r="K1000" s="2"/>
    </row>
    <row r="1001" spans="9:11" x14ac:dyDescent="0.35">
      <c r="I1001" s="2"/>
      <c r="K1001" s="2"/>
    </row>
  </sheetData>
  <mergeCells count="1">
    <mergeCell ref="A3:B3"/>
  </mergeCells>
  <conditionalFormatting sqref="K7:K44">
    <cfRule type="cellIs" dxfId="16" priority="1" operator="lessThan">
      <formula>10</formula>
    </cfRule>
  </conditionalFormatting>
  <conditionalFormatting sqref="L7:L44 M12 M20:M21 M23 M25:M27 M29 M35 M37:M38 M40 M42:M43">
    <cfRule type="cellIs" dxfId="15" priority="2" operator="lessThan"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21"/>
  <sheetViews>
    <sheetView workbookViewId="0">
      <pane ySplit="5" topLeftCell="A23" activePane="bottomLeft" state="frozen"/>
      <selection pane="bottomLeft" activeCell="B6" sqref="B6:B43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3" width="7" customWidth="1"/>
    <col min="14" max="19" width="5.81640625" customWidth="1"/>
    <col min="20" max="20" width="7.08984375" customWidth="1"/>
    <col min="21" max="21" width="10.453125" customWidth="1"/>
    <col min="22" max="24" width="8.7265625" customWidth="1"/>
  </cols>
  <sheetData>
    <row r="1" spans="1:21" ht="14.5" x14ac:dyDescent="0.35">
      <c r="A1" s="1" t="s">
        <v>0</v>
      </c>
    </row>
    <row r="2" spans="1:21" ht="14.5" x14ac:dyDescent="0.35">
      <c r="A2" s="1"/>
      <c r="C2" s="42" t="s">
        <v>30</v>
      </c>
      <c r="D2" s="43"/>
      <c r="E2" s="43"/>
      <c r="F2" s="43"/>
      <c r="G2" s="44"/>
      <c r="H2" s="42" t="s">
        <v>32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</row>
    <row r="3" spans="1:21" ht="14.5" x14ac:dyDescent="0.35">
      <c r="A3" s="22" t="s">
        <v>9</v>
      </c>
      <c r="B3" s="23"/>
      <c r="C3" s="45" t="s">
        <v>33</v>
      </c>
      <c r="D3" s="46"/>
      <c r="E3" s="46"/>
      <c r="F3" s="46"/>
      <c r="G3" s="47"/>
      <c r="H3" s="45" t="s">
        <v>35</v>
      </c>
      <c r="I3" s="46"/>
      <c r="J3" s="47"/>
      <c r="K3" s="45" t="s">
        <v>38</v>
      </c>
      <c r="L3" s="47"/>
      <c r="M3" s="45" t="s">
        <v>40</v>
      </c>
      <c r="N3" s="46"/>
      <c r="O3" s="45" t="s">
        <v>41</v>
      </c>
      <c r="P3" s="47"/>
      <c r="Q3" s="45" t="s">
        <v>43</v>
      </c>
      <c r="R3" s="46"/>
      <c r="S3" s="47"/>
      <c r="T3" s="25"/>
    </row>
    <row r="4" spans="1:21" ht="14.5" x14ac:dyDescent="0.35">
      <c r="A4" s="26"/>
      <c r="B4" s="27" t="s">
        <v>46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9">
        <v>1</v>
      </c>
      <c r="N4" s="29">
        <v>2</v>
      </c>
      <c r="O4" s="28">
        <v>2</v>
      </c>
      <c r="P4" s="28">
        <v>1</v>
      </c>
      <c r="Q4" s="28">
        <v>2</v>
      </c>
      <c r="R4" s="28">
        <v>1</v>
      </c>
      <c r="S4" s="28">
        <v>1</v>
      </c>
      <c r="T4" s="29">
        <f>SUM(C4:S4)</f>
        <v>20</v>
      </c>
    </row>
    <row r="5" spans="1:21" ht="14.5" x14ac:dyDescent="0.35">
      <c r="A5" s="27" t="s">
        <v>7</v>
      </c>
      <c r="B5" s="27" t="s">
        <v>8</v>
      </c>
      <c r="C5" s="27" t="s">
        <v>49</v>
      </c>
      <c r="D5" s="27" t="s">
        <v>50</v>
      </c>
      <c r="E5" s="27">
        <v>6</v>
      </c>
      <c r="F5" s="27">
        <v>7</v>
      </c>
      <c r="G5" s="27">
        <v>21</v>
      </c>
      <c r="H5" s="27" t="s">
        <v>49</v>
      </c>
      <c r="I5" s="27" t="s">
        <v>51</v>
      </c>
      <c r="J5" s="27" t="s">
        <v>52</v>
      </c>
      <c r="K5" s="27">
        <v>4</v>
      </c>
      <c r="L5" s="27">
        <v>7</v>
      </c>
      <c r="M5" s="27">
        <v>12</v>
      </c>
      <c r="N5" s="27">
        <v>13</v>
      </c>
      <c r="O5" s="27">
        <v>4</v>
      </c>
      <c r="P5" s="27">
        <v>5</v>
      </c>
      <c r="Q5" s="27">
        <v>1</v>
      </c>
      <c r="R5" s="27">
        <v>13</v>
      </c>
      <c r="S5" s="27">
        <v>16</v>
      </c>
      <c r="T5" s="27" t="s">
        <v>53</v>
      </c>
      <c r="U5" s="17" t="s">
        <v>54</v>
      </c>
    </row>
    <row r="6" spans="1:21" ht="14.5" x14ac:dyDescent="0.35">
      <c r="A6" s="17">
        <v>1</v>
      </c>
      <c r="B6" s="17" t="str">
        <f>'Balanço - Relatório'!B7</f>
        <v>Adelino Ceita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>
        <f t="shared" ref="T6:T43" si="0">SUM(C6:S6)</f>
        <v>0</v>
      </c>
      <c r="U6" s="26" t="str">
        <f t="shared" ref="U6:U43" si="1">IF(T6&gt;=18,"M. Bom",IF(T6&gt;=14,"Bom",IF(T6&gt;=10,"Suf.","Insuf")))</f>
        <v>Insuf</v>
      </c>
    </row>
    <row r="7" spans="1:21" ht="14.5" x14ac:dyDescent="0.35">
      <c r="A7" s="17">
        <v>2</v>
      </c>
      <c r="B7" s="17" t="str">
        <f>'Balanço - Relatório'!B8</f>
        <v>Adilson Santos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>
        <f t="shared" si="0"/>
        <v>0</v>
      </c>
      <c r="U7" s="26" t="str">
        <f t="shared" si="1"/>
        <v>Insuf</v>
      </c>
    </row>
    <row r="8" spans="1:21" ht="14.5" x14ac:dyDescent="0.35">
      <c r="A8" s="17">
        <v>3</v>
      </c>
      <c r="B8" s="17" t="str">
        <f>'Balanço - Relatório'!B9</f>
        <v>Admilson Fonseca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38"/>
      <c r="N8" s="17"/>
      <c r="O8" s="17"/>
      <c r="P8" s="17"/>
      <c r="Q8" s="17"/>
      <c r="R8" s="17"/>
      <c r="S8" s="17"/>
      <c r="T8" s="17">
        <f t="shared" si="0"/>
        <v>0</v>
      </c>
      <c r="U8" s="26" t="str">
        <f t="shared" si="1"/>
        <v>Insuf</v>
      </c>
    </row>
    <row r="9" spans="1:21" ht="14.5" x14ac:dyDescent="0.35">
      <c r="A9" s="17">
        <v>4</v>
      </c>
      <c r="B9" s="17" t="str">
        <f>'Balanço - Relatório'!B10</f>
        <v>Admilton Barros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>
        <f t="shared" si="0"/>
        <v>0</v>
      </c>
      <c r="U9" s="26" t="str">
        <f t="shared" si="1"/>
        <v>Insuf</v>
      </c>
    </row>
    <row r="10" spans="1:21" ht="14.5" x14ac:dyDescent="0.35">
      <c r="A10" s="17">
        <v>5</v>
      </c>
      <c r="B10" s="17" t="str">
        <f>'Balanço - Relatório'!B11</f>
        <v>Adnalda Cosme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>
        <f t="shared" si="0"/>
        <v>0</v>
      </c>
      <c r="U10" s="26" t="str">
        <f t="shared" si="1"/>
        <v>Insuf</v>
      </c>
    </row>
    <row r="11" spans="1:21" ht="14.5" x14ac:dyDescent="0.35">
      <c r="A11" s="17">
        <v>6</v>
      </c>
      <c r="B11" s="17" t="str">
        <f>'Balanço - Relatório'!B12</f>
        <v>Alex Santos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>
        <f t="shared" si="0"/>
        <v>0</v>
      </c>
      <c r="U11" s="26" t="str">
        <f t="shared" si="1"/>
        <v>Insuf</v>
      </c>
    </row>
    <row r="12" spans="1:21" ht="14.5" x14ac:dyDescent="0.35">
      <c r="A12" s="17">
        <v>7</v>
      </c>
      <c r="B12" s="17" t="str">
        <f>'Balanço - Relatório'!B13</f>
        <v>Anazilsa Sacramento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>
        <f t="shared" si="0"/>
        <v>0</v>
      </c>
      <c r="U12" s="26" t="str">
        <f t="shared" si="1"/>
        <v>Insuf</v>
      </c>
    </row>
    <row r="13" spans="1:21" ht="14.5" x14ac:dyDescent="0.35">
      <c r="A13" s="17">
        <v>8</v>
      </c>
      <c r="B13" s="17" t="str">
        <f>'Balanço - Relatório'!B14</f>
        <v>Anylson Oliveira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>
        <f t="shared" si="0"/>
        <v>0</v>
      </c>
      <c r="U13" s="26" t="str">
        <f t="shared" si="1"/>
        <v>Insuf</v>
      </c>
    </row>
    <row r="14" spans="1:21" ht="14.5" x14ac:dyDescent="0.35">
      <c r="A14" s="17">
        <v>9</v>
      </c>
      <c r="B14" s="17" t="str">
        <f>'Balanço - Relatório'!B15</f>
        <v>Atanásio Quaresma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>
        <f t="shared" si="0"/>
        <v>0</v>
      </c>
      <c r="U14" s="26" t="str">
        <f t="shared" si="1"/>
        <v>Insuf</v>
      </c>
    </row>
    <row r="15" spans="1:21" ht="14.5" x14ac:dyDescent="0.35">
      <c r="A15" s="17">
        <v>10</v>
      </c>
      <c r="B15" s="17" t="str">
        <f>'Balanço - Relatório'!B16</f>
        <v>Carla Nascimento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>
        <f t="shared" si="0"/>
        <v>0</v>
      </c>
      <c r="U15" s="26" t="str">
        <f t="shared" si="1"/>
        <v>Insuf</v>
      </c>
    </row>
    <row r="16" spans="1:21" ht="14.5" x14ac:dyDescent="0.35">
      <c r="A16" s="17">
        <v>11</v>
      </c>
      <c r="B16" s="17" t="str">
        <f>'Balanço - Relatório'!B17</f>
        <v>Celeste Cruz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>
        <f t="shared" si="0"/>
        <v>0</v>
      </c>
      <c r="U16" s="26" t="str">
        <f t="shared" si="1"/>
        <v>Insuf</v>
      </c>
    </row>
    <row r="17" spans="1:21" ht="14.5" x14ac:dyDescent="0.35">
      <c r="A17" s="17">
        <v>12</v>
      </c>
      <c r="B17" s="17" t="str">
        <f>'Balanço - Relatório'!B18</f>
        <v>Célia Assunção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>
        <f t="shared" si="0"/>
        <v>0</v>
      </c>
      <c r="U17" s="26" t="str">
        <f t="shared" si="1"/>
        <v>Insuf</v>
      </c>
    </row>
    <row r="18" spans="1:21" ht="14.5" x14ac:dyDescent="0.35">
      <c r="A18" s="17">
        <v>13</v>
      </c>
      <c r="B18" s="17" t="str">
        <f>'Balanço - Relatório'!B19</f>
        <v>Celso Rosário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>
        <f t="shared" si="0"/>
        <v>0</v>
      </c>
      <c r="U18" s="26" t="str">
        <f t="shared" si="1"/>
        <v>Insuf</v>
      </c>
    </row>
    <row r="19" spans="1:21" ht="14.5" x14ac:dyDescent="0.35">
      <c r="A19" s="17">
        <v>14</v>
      </c>
      <c r="B19" s="17" t="str">
        <f>'Balanço - Relatório'!B20</f>
        <v>Cristina Espírito Santo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>
        <f t="shared" si="0"/>
        <v>0</v>
      </c>
      <c r="U19" s="26" t="str">
        <f t="shared" si="1"/>
        <v>Insuf</v>
      </c>
    </row>
    <row r="20" spans="1:21" ht="14.5" x14ac:dyDescent="0.35">
      <c r="A20" s="17">
        <v>15</v>
      </c>
      <c r="B20" s="17" t="str">
        <f>'Balanço - Relatório'!B21</f>
        <v>Dies Varela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>
        <f t="shared" si="0"/>
        <v>0</v>
      </c>
      <c r="U20" s="26" t="str">
        <f t="shared" si="1"/>
        <v>Insuf</v>
      </c>
    </row>
    <row r="21" spans="1:21" ht="14.5" x14ac:dyDescent="0.35">
      <c r="A21" s="17">
        <v>16</v>
      </c>
      <c r="B21" s="17" t="str">
        <f>'Balanço - Relatório'!B22</f>
        <v>Edcarlos Fernandes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>
        <f t="shared" si="0"/>
        <v>0</v>
      </c>
      <c r="U21" s="26" t="str">
        <f t="shared" si="1"/>
        <v>Insuf</v>
      </c>
    </row>
    <row r="22" spans="1:21" ht="14.5" x14ac:dyDescent="0.35">
      <c r="A22" s="17">
        <v>17</v>
      </c>
      <c r="B22" s="17" t="str">
        <f>'Balanço - Relatório'!B23</f>
        <v>Edulay Neves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>
        <f t="shared" si="0"/>
        <v>0</v>
      </c>
      <c r="U22" s="26" t="str">
        <f t="shared" si="1"/>
        <v>Insuf</v>
      </c>
    </row>
    <row r="23" spans="1:21" ht="14.5" x14ac:dyDescent="0.35">
      <c r="A23" s="17">
        <v>18</v>
      </c>
      <c r="B23" s="17" t="str">
        <f>'Balanço - Relatório'!B24</f>
        <v>Eliseo Luís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>
        <f t="shared" si="0"/>
        <v>0</v>
      </c>
      <c r="U23" s="26" t="str">
        <f t="shared" si="1"/>
        <v>Insuf</v>
      </c>
    </row>
    <row r="24" spans="1:21" ht="14.5" x14ac:dyDescent="0.35">
      <c r="A24" s="17">
        <v>19</v>
      </c>
      <c r="B24" s="17" t="str">
        <f>'Balanço - Relatório'!B25</f>
        <v>Érica Sacramento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f t="shared" si="0"/>
        <v>0</v>
      </c>
      <c r="U24" s="26" t="str">
        <f t="shared" si="1"/>
        <v>Insuf</v>
      </c>
    </row>
    <row r="25" spans="1:21" ht="14.5" x14ac:dyDescent="0.35">
      <c r="A25" s="17">
        <v>20</v>
      </c>
      <c r="B25" s="17" t="str">
        <f>'Balanço - Relatório'!B26</f>
        <v>Gerdiley Camblé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f t="shared" si="0"/>
        <v>0</v>
      </c>
      <c r="U25" s="26" t="str">
        <f t="shared" si="1"/>
        <v>Insuf</v>
      </c>
    </row>
    <row r="26" spans="1:21" ht="14.5" x14ac:dyDescent="0.35">
      <c r="A26" s="17">
        <v>21</v>
      </c>
      <c r="B26" s="17" t="str">
        <f>'Balanço - Relatório'!B27</f>
        <v>Gilson Boa Morte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>
        <f t="shared" si="0"/>
        <v>0</v>
      </c>
      <c r="U26" s="26" t="str">
        <f t="shared" si="1"/>
        <v>Insuf</v>
      </c>
    </row>
    <row r="27" spans="1:21" ht="14.5" x14ac:dyDescent="0.35">
      <c r="A27" s="17">
        <v>22</v>
      </c>
      <c r="B27" s="17" t="str">
        <f>'Balanço - Relatório'!B28</f>
        <v>Hazitxi Lima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>
        <f t="shared" si="0"/>
        <v>0</v>
      </c>
      <c r="U27" s="26" t="str">
        <f t="shared" si="1"/>
        <v>Insuf</v>
      </c>
    </row>
    <row r="28" spans="1:21" ht="14.5" x14ac:dyDescent="0.35">
      <c r="A28" s="17">
        <v>23</v>
      </c>
      <c r="B28" s="17" t="str">
        <f>'Balanço - Relatório'!B29</f>
        <v>Igualdina Andrade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>
        <f t="shared" si="0"/>
        <v>0</v>
      </c>
      <c r="U28" s="26" t="str">
        <f t="shared" si="1"/>
        <v>Insuf</v>
      </c>
    </row>
    <row r="29" spans="1:21" ht="14.5" x14ac:dyDescent="0.35">
      <c r="A29" s="17">
        <v>24</v>
      </c>
      <c r="B29" s="17" t="str">
        <f>'Balanço - Relatório'!B30</f>
        <v>Jackwillson Barreto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>
        <f t="shared" si="0"/>
        <v>0</v>
      </c>
      <c r="U29" s="26" t="str">
        <f t="shared" si="1"/>
        <v>Insuf</v>
      </c>
    </row>
    <row r="30" spans="1:21" ht="14.5" x14ac:dyDescent="0.35">
      <c r="A30" s="17">
        <v>25</v>
      </c>
      <c r="B30" s="17" t="str">
        <f>'Balanço - Relatório'!B31</f>
        <v>Jadmilson Rosa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>
        <f t="shared" si="0"/>
        <v>0</v>
      </c>
      <c r="U30" s="26" t="str">
        <f t="shared" si="1"/>
        <v>Insuf</v>
      </c>
    </row>
    <row r="31" spans="1:21" ht="14.5" x14ac:dyDescent="0.35">
      <c r="A31" s="17">
        <v>26</v>
      </c>
      <c r="B31" s="17" t="str">
        <f>'Balanço - Relatório'!B32</f>
        <v>Jenilson Jordão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>
        <f t="shared" si="0"/>
        <v>0</v>
      </c>
      <c r="U31" s="26" t="str">
        <f t="shared" si="1"/>
        <v>Insuf</v>
      </c>
    </row>
    <row r="32" spans="1:21" ht="14.5" x14ac:dyDescent="0.35">
      <c r="A32" s="17">
        <v>27</v>
      </c>
      <c r="B32" s="17" t="str">
        <f>'Balanço - Relatório'!B33</f>
        <v>Jéssica Martins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>
        <f t="shared" si="0"/>
        <v>0</v>
      </c>
      <c r="U32" s="26" t="str">
        <f t="shared" si="1"/>
        <v>Insuf</v>
      </c>
    </row>
    <row r="33" spans="1:21" ht="14.5" x14ac:dyDescent="0.35">
      <c r="A33" s="17">
        <v>28</v>
      </c>
      <c r="B33" s="17" t="str">
        <f>'Balanço - Relatório'!B34</f>
        <v>Ledyzer Santos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>
        <f t="shared" si="0"/>
        <v>0</v>
      </c>
      <c r="U33" s="26" t="str">
        <f t="shared" si="1"/>
        <v>Insuf</v>
      </c>
    </row>
    <row r="34" spans="1:21" ht="14.5" x14ac:dyDescent="0.35">
      <c r="A34" s="17">
        <v>29</v>
      </c>
      <c r="B34" s="17" t="str">
        <f>'Balanço - Relatório'!B35</f>
        <v>Leonardo Quaresma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f t="shared" si="0"/>
        <v>0</v>
      </c>
      <c r="U34" s="26" t="str">
        <f t="shared" si="1"/>
        <v>Insuf</v>
      </c>
    </row>
    <row r="35" spans="1:21" ht="14.5" x14ac:dyDescent="0.35">
      <c r="A35" s="17">
        <v>30</v>
      </c>
      <c r="B35" s="17" t="str">
        <f>'Balanço - Relatório'!B36</f>
        <v>Liedson Bonfim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>
        <f t="shared" si="0"/>
        <v>0</v>
      </c>
      <c r="U35" s="26" t="str">
        <f t="shared" si="1"/>
        <v>Insuf</v>
      </c>
    </row>
    <row r="36" spans="1:21" ht="14.5" x14ac:dyDescent="0.35">
      <c r="A36" s="17">
        <v>31</v>
      </c>
      <c r="B36" s="17" t="str">
        <f>'Balanço - Relatório'!B37</f>
        <v>Manuel Pontes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f t="shared" si="0"/>
        <v>0</v>
      </c>
      <c r="U36" s="26" t="str">
        <f t="shared" si="1"/>
        <v>Insuf</v>
      </c>
    </row>
    <row r="37" spans="1:21" ht="14.5" x14ac:dyDescent="0.35">
      <c r="A37" s="17">
        <v>32</v>
      </c>
      <c r="B37" s="17" t="str">
        <f>'Balanço - Relatório'!B38</f>
        <v>Nelma Espírito Santo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f t="shared" si="0"/>
        <v>0</v>
      </c>
      <c r="U37" s="26" t="str">
        <f t="shared" si="1"/>
        <v>Insuf</v>
      </c>
    </row>
    <row r="38" spans="1:21" ht="14.5" x14ac:dyDescent="0.35">
      <c r="A38" s="17">
        <v>33</v>
      </c>
      <c r="B38" s="17" t="str">
        <f>'Balanço - Relatório'!B39</f>
        <v>Ray Lima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f t="shared" si="0"/>
        <v>0</v>
      </c>
      <c r="U38" s="26" t="str">
        <f t="shared" si="1"/>
        <v>Insuf</v>
      </c>
    </row>
    <row r="39" spans="1:21" ht="14.5" x14ac:dyDescent="0.35">
      <c r="A39" s="17">
        <v>34</v>
      </c>
      <c r="B39" s="17" t="str">
        <f>'Balanço - Relatório'!B40</f>
        <v>Susete Santos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f t="shared" si="0"/>
        <v>0</v>
      </c>
      <c r="U39" s="26" t="str">
        <f t="shared" si="1"/>
        <v>Insuf</v>
      </c>
    </row>
    <row r="40" spans="1:21" ht="14.5" x14ac:dyDescent="0.35">
      <c r="A40" s="17">
        <v>35</v>
      </c>
      <c r="B40" s="17" t="str">
        <f>'Balanço - Relatório'!B41</f>
        <v>Valdemiro Coelho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f t="shared" si="0"/>
        <v>0</v>
      </c>
      <c r="U40" s="26" t="str">
        <f t="shared" si="1"/>
        <v>Insuf</v>
      </c>
    </row>
    <row r="41" spans="1:21" ht="14.5" x14ac:dyDescent="0.35">
      <c r="A41" s="17">
        <v>36</v>
      </c>
      <c r="B41" s="17" t="str">
        <f>'Balanço - Relatório'!B42</f>
        <v>Vanderley Coelho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>
        <f t="shared" si="0"/>
        <v>0</v>
      </c>
      <c r="U41" s="26" t="str">
        <f t="shared" si="1"/>
        <v>Insuf</v>
      </c>
    </row>
    <row r="42" spans="1:21" ht="15.75" customHeight="1" x14ac:dyDescent="0.35">
      <c r="A42" s="17">
        <v>37</v>
      </c>
      <c r="B42" s="17" t="str">
        <f>'Balanço - Relatório'!B43</f>
        <v>Waldney Pereira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>
        <f t="shared" si="0"/>
        <v>0</v>
      </c>
      <c r="U42" s="26" t="str">
        <f t="shared" si="1"/>
        <v>Insuf</v>
      </c>
    </row>
    <row r="43" spans="1:21" ht="15.75" customHeight="1" x14ac:dyDescent="0.35">
      <c r="A43" s="17">
        <v>38</v>
      </c>
      <c r="B43" s="17" t="str">
        <f>'Balanço - Relatório'!B44</f>
        <v>Yara Paquete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f t="shared" si="0"/>
        <v>0</v>
      </c>
      <c r="U43" s="26" t="str">
        <f t="shared" si="1"/>
        <v>Insuf</v>
      </c>
    </row>
    <row r="44" spans="1:21" ht="15.75" customHeigh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26"/>
    </row>
    <row r="45" spans="1:21" ht="15.75" customHeight="1" x14ac:dyDescent="0.35"/>
    <row r="46" spans="1:21" ht="15.75" customHeight="1" x14ac:dyDescent="0.35">
      <c r="C46" s="32" t="e">
        <f t="shared" ref="C46:S46" si="2">SUM(C6:C44)/(COUNT(C6:C44)*C4)</f>
        <v>#DIV/0!</v>
      </c>
      <c r="D46" s="32" t="e">
        <f t="shared" si="2"/>
        <v>#DIV/0!</v>
      </c>
      <c r="E46" s="32" t="e">
        <f t="shared" si="2"/>
        <v>#DIV/0!</v>
      </c>
      <c r="F46" s="32" t="e">
        <f t="shared" si="2"/>
        <v>#DIV/0!</v>
      </c>
      <c r="G46" s="32" t="e">
        <f t="shared" si="2"/>
        <v>#DIV/0!</v>
      </c>
      <c r="H46" s="32" t="e">
        <f t="shared" si="2"/>
        <v>#DIV/0!</v>
      </c>
      <c r="I46" s="32" t="e">
        <f t="shared" si="2"/>
        <v>#DIV/0!</v>
      </c>
      <c r="J46" s="32" t="e">
        <f t="shared" si="2"/>
        <v>#DIV/0!</v>
      </c>
      <c r="K46" s="32" t="e">
        <f t="shared" si="2"/>
        <v>#DIV/0!</v>
      </c>
      <c r="L46" s="32" t="e">
        <f t="shared" si="2"/>
        <v>#DIV/0!</v>
      </c>
      <c r="M46" s="32" t="e">
        <f t="shared" si="2"/>
        <v>#DIV/0!</v>
      </c>
      <c r="N46" s="32" t="e">
        <f t="shared" si="2"/>
        <v>#DIV/0!</v>
      </c>
      <c r="O46" s="32" t="e">
        <f t="shared" si="2"/>
        <v>#DIV/0!</v>
      </c>
      <c r="P46" s="32" t="e">
        <f t="shared" si="2"/>
        <v>#DIV/0!</v>
      </c>
      <c r="Q46" s="32" t="e">
        <f t="shared" si="2"/>
        <v>#DIV/0!</v>
      </c>
      <c r="R46" s="32" t="e">
        <f t="shared" si="2"/>
        <v>#DIV/0!</v>
      </c>
      <c r="S46" s="32" t="e">
        <f t="shared" si="2"/>
        <v>#DIV/0!</v>
      </c>
    </row>
    <row r="47" spans="1:21" ht="15.75" customHeight="1" x14ac:dyDescent="0.35"/>
    <row r="48" spans="1:2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</sheetData>
  <mergeCells count="8">
    <mergeCell ref="C2:G2"/>
    <mergeCell ref="H2:S2"/>
    <mergeCell ref="C3:G3"/>
    <mergeCell ref="H3:J3"/>
    <mergeCell ref="K3:L3"/>
    <mergeCell ref="M3:N3"/>
    <mergeCell ref="O3:P3"/>
    <mergeCell ref="Q3:S3"/>
  </mergeCells>
  <conditionalFormatting sqref="T6:T44">
    <cfRule type="cellIs" dxfId="14" priority="1" operator="lessThan">
      <formula>10</formula>
    </cfRule>
  </conditionalFormatting>
  <conditionalFormatting sqref="U6:U44">
    <cfRule type="cellIs" dxfId="13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21"/>
  <sheetViews>
    <sheetView workbookViewId="0">
      <pane ySplit="5" topLeftCell="A6" activePane="bottomLeft" state="frozen"/>
      <selection pane="bottomLeft" activeCell="B6" sqref="B6:B43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2" width="7" customWidth="1"/>
    <col min="13" max="16" width="5.81640625" customWidth="1"/>
    <col min="17" max="17" width="7.08984375" customWidth="1"/>
    <col min="18" max="18" width="10.453125" customWidth="1"/>
    <col min="19" max="21" width="8.7265625" customWidth="1"/>
  </cols>
  <sheetData>
    <row r="1" spans="1:18" ht="14.5" x14ac:dyDescent="0.35">
      <c r="A1" s="1" t="s">
        <v>0</v>
      </c>
    </row>
    <row r="2" spans="1:18" ht="14.5" x14ac:dyDescent="0.35">
      <c r="A2" s="1"/>
      <c r="C2" s="42" t="s">
        <v>30</v>
      </c>
      <c r="D2" s="43"/>
      <c r="E2" s="43"/>
      <c r="F2" s="44"/>
      <c r="G2" s="42" t="s">
        <v>32</v>
      </c>
      <c r="H2" s="43"/>
      <c r="I2" s="43"/>
      <c r="J2" s="43"/>
      <c r="K2" s="43"/>
      <c r="L2" s="43"/>
      <c r="M2" s="43"/>
      <c r="N2" s="43"/>
      <c r="O2" s="43"/>
      <c r="P2" s="44"/>
      <c r="Q2" s="6"/>
    </row>
    <row r="3" spans="1:18" ht="14.5" x14ac:dyDescent="0.35">
      <c r="A3" s="22" t="s">
        <v>10</v>
      </c>
      <c r="B3" s="23"/>
      <c r="C3" s="45" t="s">
        <v>34</v>
      </c>
      <c r="D3" s="46"/>
      <c r="E3" s="46"/>
      <c r="F3" s="47"/>
      <c r="G3" s="24" t="s">
        <v>37</v>
      </c>
      <c r="H3" s="42" t="s">
        <v>39</v>
      </c>
      <c r="I3" s="44"/>
      <c r="J3" s="45" t="s">
        <v>42</v>
      </c>
      <c r="K3" s="47"/>
      <c r="L3" s="45" t="s">
        <v>44</v>
      </c>
      <c r="M3" s="46"/>
      <c r="N3" s="42" t="s">
        <v>45</v>
      </c>
      <c r="O3" s="43"/>
      <c r="P3" s="44"/>
      <c r="Q3" s="7"/>
    </row>
    <row r="4" spans="1:18" ht="14.5" x14ac:dyDescent="0.35">
      <c r="A4" s="26"/>
      <c r="B4" s="27" t="s">
        <v>46</v>
      </c>
      <c r="C4" s="28">
        <v>1</v>
      </c>
      <c r="D4" s="28">
        <v>2</v>
      </c>
      <c r="E4" s="28">
        <v>2</v>
      </c>
      <c r="F4" s="28">
        <v>2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9">
        <v>1</v>
      </c>
      <c r="M4" s="29">
        <v>2</v>
      </c>
      <c r="N4" s="29">
        <v>2</v>
      </c>
      <c r="O4" s="29">
        <v>1</v>
      </c>
      <c r="P4" s="29">
        <v>2</v>
      </c>
      <c r="Q4" s="30">
        <f>SUM(C4:P4)</f>
        <v>20</v>
      </c>
    </row>
    <row r="5" spans="1:18" ht="14.5" x14ac:dyDescent="0.35">
      <c r="A5" s="27" t="s">
        <v>7</v>
      </c>
      <c r="B5" s="27" t="s">
        <v>8</v>
      </c>
      <c r="C5" s="27">
        <v>21</v>
      </c>
      <c r="D5" s="27">
        <v>19</v>
      </c>
      <c r="E5" s="27">
        <v>24</v>
      </c>
      <c r="F5" s="27">
        <v>25</v>
      </c>
      <c r="G5" s="27">
        <v>7</v>
      </c>
      <c r="H5" s="27" t="s">
        <v>55</v>
      </c>
      <c r="I5" s="27">
        <v>2</v>
      </c>
      <c r="J5" s="27">
        <v>1</v>
      </c>
      <c r="K5" s="27">
        <v>2</v>
      </c>
      <c r="L5" s="27" t="s">
        <v>56</v>
      </c>
      <c r="M5" s="27" t="s">
        <v>57</v>
      </c>
      <c r="N5" s="27">
        <v>1</v>
      </c>
      <c r="O5" s="27" t="s">
        <v>58</v>
      </c>
      <c r="P5" s="27">
        <v>4</v>
      </c>
      <c r="Q5" s="27" t="s">
        <v>53</v>
      </c>
      <c r="R5" s="17" t="s">
        <v>54</v>
      </c>
    </row>
    <row r="6" spans="1:18" ht="14.5" x14ac:dyDescent="0.35">
      <c r="A6" s="17">
        <v>1</v>
      </c>
      <c r="B6" s="17" t="str">
        <f>'Balanço - Relatório'!B7</f>
        <v>Adelino Ceita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>
        <f t="shared" ref="Q6:Q43" si="0">SUM(C6:P6)</f>
        <v>0</v>
      </c>
      <c r="R6" s="26" t="str">
        <f t="shared" ref="R6:R43" si="1">IF(Q6&gt;=18,"M. Bom",IF(Q6&gt;=14,"Bom",IF(Q6&gt;=10,"Suf.","Insuf")))</f>
        <v>Insuf</v>
      </c>
    </row>
    <row r="7" spans="1:18" ht="14.5" x14ac:dyDescent="0.35">
      <c r="A7" s="17">
        <v>2</v>
      </c>
      <c r="B7" s="17" t="str">
        <f>'Balanço - Relatório'!B8</f>
        <v>Adilson Santos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>
        <f t="shared" si="0"/>
        <v>0</v>
      </c>
      <c r="R7" s="26" t="str">
        <f t="shared" si="1"/>
        <v>Insuf</v>
      </c>
    </row>
    <row r="8" spans="1:18" ht="14.5" x14ac:dyDescent="0.35">
      <c r="A8" s="17">
        <v>3</v>
      </c>
      <c r="B8" s="17" t="str">
        <f>'Balanço - Relatório'!B9</f>
        <v>Admilson Fonseca</v>
      </c>
      <c r="C8" s="17"/>
      <c r="D8" s="17"/>
      <c r="E8" s="17"/>
      <c r="F8" s="17"/>
      <c r="G8" s="17"/>
      <c r="H8" s="17"/>
      <c r="I8" s="17"/>
      <c r="J8" s="17"/>
      <c r="K8" s="17"/>
      <c r="L8" s="38"/>
      <c r="M8" s="17"/>
      <c r="N8" s="17"/>
      <c r="O8" s="17"/>
      <c r="P8" s="17"/>
      <c r="Q8" s="17">
        <f t="shared" si="0"/>
        <v>0</v>
      </c>
      <c r="R8" s="26" t="str">
        <f t="shared" si="1"/>
        <v>Insuf</v>
      </c>
    </row>
    <row r="9" spans="1:18" ht="14.5" x14ac:dyDescent="0.35">
      <c r="A9" s="17">
        <v>4</v>
      </c>
      <c r="B9" s="17" t="str">
        <f>'Balanço - Relatório'!B10</f>
        <v>Admilton Barros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>
        <f t="shared" si="0"/>
        <v>0</v>
      </c>
      <c r="R9" s="26" t="str">
        <f t="shared" si="1"/>
        <v>Insuf</v>
      </c>
    </row>
    <row r="10" spans="1:18" ht="14.5" x14ac:dyDescent="0.35">
      <c r="A10" s="17">
        <v>5</v>
      </c>
      <c r="B10" s="17" t="str">
        <f>'Balanço - Relatório'!B11</f>
        <v>Adnalda Cosme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>
        <f t="shared" si="0"/>
        <v>0</v>
      </c>
      <c r="R10" s="26" t="str">
        <f t="shared" si="1"/>
        <v>Insuf</v>
      </c>
    </row>
    <row r="11" spans="1:18" ht="14.5" x14ac:dyDescent="0.35">
      <c r="A11" s="17">
        <v>6</v>
      </c>
      <c r="B11" s="17" t="str">
        <f>'Balanço - Relatório'!B12</f>
        <v>Alex Santos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>
        <f t="shared" si="0"/>
        <v>0</v>
      </c>
      <c r="R11" s="26" t="str">
        <f t="shared" si="1"/>
        <v>Insuf</v>
      </c>
    </row>
    <row r="12" spans="1:18" ht="14.5" x14ac:dyDescent="0.35">
      <c r="A12" s="17">
        <v>7</v>
      </c>
      <c r="B12" s="17" t="str">
        <f>'Balanço - Relatório'!B13</f>
        <v>Anazilsa Sacramento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>
        <f t="shared" si="0"/>
        <v>0</v>
      </c>
      <c r="R12" s="26" t="str">
        <f t="shared" si="1"/>
        <v>Insuf</v>
      </c>
    </row>
    <row r="13" spans="1:18" ht="14.5" x14ac:dyDescent="0.35">
      <c r="A13" s="17">
        <v>8</v>
      </c>
      <c r="B13" s="17" t="str">
        <f>'Balanço - Relatório'!B14</f>
        <v>Anylson Oliveira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>
        <f t="shared" si="0"/>
        <v>0</v>
      </c>
      <c r="R13" s="26" t="str">
        <f t="shared" si="1"/>
        <v>Insuf</v>
      </c>
    </row>
    <row r="14" spans="1:18" ht="14.5" x14ac:dyDescent="0.35">
      <c r="A14" s="17">
        <v>9</v>
      </c>
      <c r="B14" s="17" t="str">
        <f>'Balanço - Relatório'!B15</f>
        <v>Atanásio Quaresma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>
        <f t="shared" si="0"/>
        <v>0</v>
      </c>
      <c r="R14" s="26" t="str">
        <f t="shared" si="1"/>
        <v>Insuf</v>
      </c>
    </row>
    <row r="15" spans="1:18" ht="14.5" x14ac:dyDescent="0.35">
      <c r="A15" s="17">
        <v>10</v>
      </c>
      <c r="B15" s="17" t="str">
        <f>'Balanço - Relatório'!B16</f>
        <v>Carla Nascimento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>
        <f t="shared" si="0"/>
        <v>0</v>
      </c>
      <c r="R15" s="26" t="str">
        <f t="shared" si="1"/>
        <v>Insuf</v>
      </c>
    </row>
    <row r="16" spans="1:18" ht="14.5" x14ac:dyDescent="0.35">
      <c r="A16" s="17">
        <v>11</v>
      </c>
      <c r="B16" s="17" t="str">
        <f>'Balanço - Relatório'!B17</f>
        <v>Celeste Cruz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>
        <f t="shared" si="0"/>
        <v>0</v>
      </c>
      <c r="R16" s="26" t="str">
        <f t="shared" si="1"/>
        <v>Insuf</v>
      </c>
    </row>
    <row r="17" spans="1:18" ht="14.5" x14ac:dyDescent="0.35">
      <c r="A17" s="17">
        <v>12</v>
      </c>
      <c r="B17" s="17" t="str">
        <f>'Balanço - Relatório'!B18</f>
        <v>Célia Assunção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>
        <f t="shared" si="0"/>
        <v>0</v>
      </c>
      <c r="R17" s="26" t="str">
        <f t="shared" si="1"/>
        <v>Insuf</v>
      </c>
    </row>
    <row r="18" spans="1:18" ht="14.5" x14ac:dyDescent="0.35">
      <c r="A18" s="17">
        <v>13</v>
      </c>
      <c r="B18" s="17" t="str">
        <f>'Balanço - Relatório'!B19</f>
        <v>Celso Rosário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>
        <f t="shared" si="0"/>
        <v>0</v>
      </c>
      <c r="R18" s="26" t="str">
        <f t="shared" si="1"/>
        <v>Insuf</v>
      </c>
    </row>
    <row r="19" spans="1:18" ht="14.5" x14ac:dyDescent="0.35">
      <c r="A19" s="17">
        <v>14</v>
      </c>
      <c r="B19" s="17" t="str">
        <f>'Balanço - Relatório'!B20</f>
        <v>Cristina Espírito Santo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>
        <f t="shared" si="0"/>
        <v>0</v>
      </c>
      <c r="R19" s="26" t="str">
        <f t="shared" si="1"/>
        <v>Insuf</v>
      </c>
    </row>
    <row r="20" spans="1:18" ht="14.5" x14ac:dyDescent="0.35">
      <c r="A20" s="17">
        <v>15</v>
      </c>
      <c r="B20" s="17" t="str">
        <f>'Balanço - Relatório'!B21</f>
        <v>Dies Varela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>
        <f t="shared" si="0"/>
        <v>0</v>
      </c>
      <c r="R20" s="26" t="str">
        <f t="shared" si="1"/>
        <v>Insuf</v>
      </c>
    </row>
    <row r="21" spans="1:18" ht="14.5" x14ac:dyDescent="0.35">
      <c r="A21" s="17">
        <v>16</v>
      </c>
      <c r="B21" s="17" t="str">
        <f>'Balanço - Relatório'!B22</f>
        <v>Edcarlos Fernandes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>
        <f t="shared" si="0"/>
        <v>0</v>
      </c>
      <c r="R21" s="26" t="str">
        <f t="shared" si="1"/>
        <v>Insuf</v>
      </c>
    </row>
    <row r="22" spans="1:18" ht="14.5" x14ac:dyDescent="0.35">
      <c r="A22" s="17">
        <v>17</v>
      </c>
      <c r="B22" s="17" t="str">
        <f>'Balanço - Relatório'!B23</f>
        <v>Edulay Neves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>
        <f t="shared" si="0"/>
        <v>0</v>
      </c>
      <c r="R22" s="26" t="str">
        <f t="shared" si="1"/>
        <v>Insuf</v>
      </c>
    </row>
    <row r="23" spans="1:18" ht="14.5" x14ac:dyDescent="0.35">
      <c r="A23" s="17">
        <v>18</v>
      </c>
      <c r="B23" s="17" t="str">
        <f>'Balanço - Relatório'!B24</f>
        <v>Eliseo Luís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>
        <f t="shared" si="0"/>
        <v>0</v>
      </c>
      <c r="R23" s="26" t="str">
        <f t="shared" si="1"/>
        <v>Insuf</v>
      </c>
    </row>
    <row r="24" spans="1:18" ht="14.5" x14ac:dyDescent="0.35">
      <c r="A24" s="17">
        <v>19</v>
      </c>
      <c r="B24" s="17" t="str">
        <f>'Balanço - Relatório'!B25</f>
        <v>Érica Sacramento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>
        <f t="shared" si="0"/>
        <v>0</v>
      </c>
      <c r="R24" s="26" t="str">
        <f t="shared" si="1"/>
        <v>Insuf</v>
      </c>
    </row>
    <row r="25" spans="1:18" ht="14.5" x14ac:dyDescent="0.35">
      <c r="A25" s="17">
        <v>20</v>
      </c>
      <c r="B25" s="17" t="str">
        <f>'Balanço - Relatório'!B26</f>
        <v>Gerdiley Camblé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>
        <f t="shared" si="0"/>
        <v>0</v>
      </c>
      <c r="R25" s="26" t="str">
        <f t="shared" si="1"/>
        <v>Insuf</v>
      </c>
    </row>
    <row r="26" spans="1:18" ht="14.5" x14ac:dyDescent="0.35">
      <c r="A26" s="17">
        <v>21</v>
      </c>
      <c r="B26" s="17" t="str">
        <f>'Balanço - Relatório'!B27</f>
        <v>Gilson Boa Morte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>
        <f t="shared" si="0"/>
        <v>0</v>
      </c>
      <c r="R26" s="26" t="str">
        <f t="shared" si="1"/>
        <v>Insuf</v>
      </c>
    </row>
    <row r="27" spans="1:18" ht="14.5" x14ac:dyDescent="0.35">
      <c r="A27" s="17">
        <v>22</v>
      </c>
      <c r="B27" s="17" t="str">
        <f>'Balanço - Relatório'!B28</f>
        <v>Hazitxi Lima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>
        <f t="shared" si="0"/>
        <v>0</v>
      </c>
      <c r="R27" s="26" t="str">
        <f t="shared" si="1"/>
        <v>Insuf</v>
      </c>
    </row>
    <row r="28" spans="1:18" ht="14.5" x14ac:dyDescent="0.35">
      <c r="A28" s="17">
        <v>23</v>
      </c>
      <c r="B28" s="17" t="str">
        <f>'Balanço - Relatório'!B29</f>
        <v>Igualdina Andrade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>
        <f t="shared" si="0"/>
        <v>0</v>
      </c>
      <c r="R28" s="26" t="str">
        <f t="shared" si="1"/>
        <v>Insuf</v>
      </c>
    </row>
    <row r="29" spans="1:18" ht="14.5" x14ac:dyDescent="0.35">
      <c r="A29" s="17">
        <v>24</v>
      </c>
      <c r="B29" s="17" t="str">
        <f>'Balanço - Relatório'!B30</f>
        <v>Jackwillson Barreto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>
        <f t="shared" si="0"/>
        <v>0</v>
      </c>
      <c r="R29" s="26" t="str">
        <f t="shared" si="1"/>
        <v>Insuf</v>
      </c>
    </row>
    <row r="30" spans="1:18" ht="14.5" x14ac:dyDescent="0.35">
      <c r="A30" s="17">
        <v>25</v>
      </c>
      <c r="B30" s="17" t="str">
        <f>'Balanço - Relatório'!B31</f>
        <v>Jadmilson Rosa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>
        <f t="shared" si="0"/>
        <v>0</v>
      </c>
      <c r="R30" s="26" t="str">
        <f t="shared" si="1"/>
        <v>Insuf</v>
      </c>
    </row>
    <row r="31" spans="1:18" ht="14.5" x14ac:dyDescent="0.35">
      <c r="A31" s="17">
        <v>26</v>
      </c>
      <c r="B31" s="17" t="str">
        <f>'Balanço - Relatório'!B32</f>
        <v>Jenilson Jordão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>
        <f t="shared" si="0"/>
        <v>0</v>
      </c>
      <c r="R31" s="26" t="str">
        <f t="shared" si="1"/>
        <v>Insuf</v>
      </c>
    </row>
    <row r="32" spans="1:18" ht="14.5" x14ac:dyDescent="0.35">
      <c r="A32" s="17">
        <v>27</v>
      </c>
      <c r="B32" s="17" t="str">
        <f>'Balanço - Relatório'!B33</f>
        <v>Jéssica Martins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>
        <f t="shared" si="0"/>
        <v>0</v>
      </c>
      <c r="R32" s="26" t="str">
        <f t="shared" si="1"/>
        <v>Insuf</v>
      </c>
    </row>
    <row r="33" spans="1:18" ht="14.5" x14ac:dyDescent="0.35">
      <c r="A33" s="17">
        <v>28</v>
      </c>
      <c r="B33" s="17" t="str">
        <f>'Balanço - Relatório'!B34</f>
        <v>Ledyzer Santos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>
        <f t="shared" si="0"/>
        <v>0</v>
      </c>
      <c r="R33" s="26" t="str">
        <f t="shared" si="1"/>
        <v>Insuf</v>
      </c>
    </row>
    <row r="34" spans="1:18" ht="14.5" x14ac:dyDescent="0.35">
      <c r="A34" s="17">
        <v>29</v>
      </c>
      <c r="B34" s="17" t="str">
        <f>'Balanço - Relatório'!B35</f>
        <v>Leonardo Quaresma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>
        <f t="shared" si="0"/>
        <v>0</v>
      </c>
      <c r="R34" s="26" t="str">
        <f t="shared" si="1"/>
        <v>Insuf</v>
      </c>
    </row>
    <row r="35" spans="1:18" ht="14.5" x14ac:dyDescent="0.35">
      <c r="A35" s="17">
        <v>30</v>
      </c>
      <c r="B35" s="17" t="str">
        <f>'Balanço - Relatório'!B36</f>
        <v>Liedson Bonfim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>
        <f t="shared" si="0"/>
        <v>0</v>
      </c>
      <c r="R35" s="26" t="str">
        <f t="shared" si="1"/>
        <v>Insuf</v>
      </c>
    </row>
    <row r="36" spans="1:18" ht="14.5" x14ac:dyDescent="0.35">
      <c r="A36" s="17">
        <v>31</v>
      </c>
      <c r="B36" s="17" t="str">
        <f>'Balanço - Relatório'!B37</f>
        <v>Manuel Pontes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>
        <f t="shared" si="0"/>
        <v>0</v>
      </c>
      <c r="R36" s="26" t="str">
        <f t="shared" si="1"/>
        <v>Insuf</v>
      </c>
    </row>
    <row r="37" spans="1:18" ht="14.5" x14ac:dyDescent="0.35">
      <c r="A37" s="17">
        <v>32</v>
      </c>
      <c r="B37" s="17" t="str">
        <f>'Balanço - Relatório'!B38</f>
        <v>Nelma Espírito Santo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>
        <f t="shared" si="0"/>
        <v>0</v>
      </c>
      <c r="R37" s="26" t="str">
        <f t="shared" si="1"/>
        <v>Insuf</v>
      </c>
    </row>
    <row r="38" spans="1:18" ht="14.5" x14ac:dyDescent="0.35">
      <c r="A38" s="17">
        <v>33</v>
      </c>
      <c r="B38" s="17" t="str">
        <f>'Balanço - Relatório'!B39</f>
        <v>Ray Lima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f t="shared" si="0"/>
        <v>0</v>
      </c>
      <c r="R38" s="26" t="str">
        <f t="shared" si="1"/>
        <v>Insuf</v>
      </c>
    </row>
    <row r="39" spans="1:18" ht="14.5" x14ac:dyDescent="0.35">
      <c r="A39" s="17">
        <v>34</v>
      </c>
      <c r="B39" s="17" t="str">
        <f>'Balanço - Relatório'!B40</f>
        <v>Susete Santos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>
        <f t="shared" si="0"/>
        <v>0</v>
      </c>
      <c r="R39" s="26" t="str">
        <f t="shared" si="1"/>
        <v>Insuf</v>
      </c>
    </row>
    <row r="40" spans="1:18" ht="14.5" x14ac:dyDescent="0.35">
      <c r="A40" s="17">
        <v>35</v>
      </c>
      <c r="B40" s="17" t="str">
        <f>'Balanço - Relatório'!B41</f>
        <v>Valdemiro Coelho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>
        <f t="shared" si="0"/>
        <v>0</v>
      </c>
      <c r="R40" s="26" t="str">
        <f t="shared" si="1"/>
        <v>Insuf</v>
      </c>
    </row>
    <row r="41" spans="1:18" ht="14.5" x14ac:dyDescent="0.35">
      <c r="A41" s="17">
        <v>36</v>
      </c>
      <c r="B41" s="17" t="str">
        <f>'Balanço - Relatório'!B42</f>
        <v>Vanderley Coelho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>
        <f t="shared" si="0"/>
        <v>0</v>
      </c>
      <c r="R41" s="26" t="str">
        <f t="shared" si="1"/>
        <v>Insuf</v>
      </c>
    </row>
    <row r="42" spans="1:18" ht="15.75" customHeight="1" x14ac:dyDescent="0.35">
      <c r="A42" s="17">
        <v>37</v>
      </c>
      <c r="B42" s="17" t="str">
        <f>'Balanço - Relatório'!B43</f>
        <v>Waldney Pereira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>
        <f t="shared" si="0"/>
        <v>0</v>
      </c>
      <c r="R42" s="26" t="str">
        <f t="shared" si="1"/>
        <v>Insuf</v>
      </c>
    </row>
    <row r="43" spans="1:18" ht="15.75" customHeight="1" x14ac:dyDescent="0.35">
      <c r="A43" s="17">
        <v>38</v>
      </c>
      <c r="B43" s="17" t="str">
        <f>'Balanço - Relatório'!B44</f>
        <v>Yara Paquete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>
        <f t="shared" si="0"/>
        <v>0</v>
      </c>
      <c r="R43" s="26" t="str">
        <f t="shared" si="1"/>
        <v>Insuf</v>
      </c>
    </row>
    <row r="44" spans="1:18" ht="15.75" customHeigh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26"/>
    </row>
    <row r="45" spans="1:18" ht="15.75" customHeight="1" x14ac:dyDescent="0.35"/>
    <row r="46" spans="1:18" ht="15.75" customHeight="1" x14ac:dyDescent="0.35">
      <c r="C46" s="32" t="e">
        <f t="shared" ref="C46:P46" si="2">SUM(C6:C44)/(COUNT(C6:C44)*C4)</f>
        <v>#DIV/0!</v>
      </c>
      <c r="D46" s="32" t="e">
        <f t="shared" si="2"/>
        <v>#DIV/0!</v>
      </c>
      <c r="E46" s="32" t="e">
        <f t="shared" si="2"/>
        <v>#DIV/0!</v>
      </c>
      <c r="F46" s="32" t="e">
        <f t="shared" si="2"/>
        <v>#DIV/0!</v>
      </c>
      <c r="G46" s="32" t="e">
        <f t="shared" si="2"/>
        <v>#DIV/0!</v>
      </c>
      <c r="H46" s="32" t="e">
        <f t="shared" si="2"/>
        <v>#DIV/0!</v>
      </c>
      <c r="I46" s="32" t="e">
        <f t="shared" si="2"/>
        <v>#DIV/0!</v>
      </c>
      <c r="J46" s="32" t="e">
        <f t="shared" si="2"/>
        <v>#DIV/0!</v>
      </c>
      <c r="K46" s="32" t="e">
        <f t="shared" si="2"/>
        <v>#DIV/0!</v>
      </c>
      <c r="L46" s="32" t="e">
        <f t="shared" si="2"/>
        <v>#DIV/0!</v>
      </c>
      <c r="M46" s="32" t="e">
        <f t="shared" si="2"/>
        <v>#DIV/0!</v>
      </c>
      <c r="N46" s="32" t="e">
        <f t="shared" si="2"/>
        <v>#DIV/0!</v>
      </c>
      <c r="O46" s="32" t="e">
        <f t="shared" si="2"/>
        <v>#DIV/0!</v>
      </c>
      <c r="P46" s="32" t="e">
        <f t="shared" si="2"/>
        <v>#DIV/0!</v>
      </c>
    </row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</sheetData>
  <mergeCells count="7">
    <mergeCell ref="C2:F2"/>
    <mergeCell ref="G2:P2"/>
    <mergeCell ref="C3:F3"/>
    <mergeCell ref="H3:I3"/>
    <mergeCell ref="J3:K3"/>
    <mergeCell ref="L3:M3"/>
    <mergeCell ref="N3:P3"/>
  </mergeCells>
  <conditionalFormatting sqref="Q6:Q44">
    <cfRule type="cellIs" dxfId="12" priority="1" operator="lessThan">
      <formula>10</formula>
    </cfRule>
  </conditionalFormatting>
  <conditionalFormatting sqref="R6:R44">
    <cfRule type="cellIs" dxfId="11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20"/>
  <sheetViews>
    <sheetView tabSelected="1" workbookViewId="0">
      <pane ySplit="4" topLeftCell="A5" activePane="bottomLeft" state="frozen"/>
      <selection pane="bottomLeft" activeCell="S6" sqref="S6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6" width="7" customWidth="1"/>
    <col min="17" max="17" width="5.81640625" customWidth="1"/>
    <col min="18" max="18" width="7.08984375" customWidth="1"/>
    <col min="19" max="19" width="10.453125" customWidth="1"/>
    <col min="20" max="20" width="8.7265625" customWidth="1"/>
  </cols>
  <sheetData>
    <row r="1" spans="1:19" ht="14.5" x14ac:dyDescent="0.35">
      <c r="A1" s="1" t="s">
        <v>0</v>
      </c>
    </row>
    <row r="2" spans="1:19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26"/>
      <c r="Q2" s="26"/>
    </row>
    <row r="3" spans="1:19" ht="14.5" x14ac:dyDescent="0.35">
      <c r="A3" s="22" t="s">
        <v>12</v>
      </c>
      <c r="B3" s="27" t="s">
        <v>46</v>
      </c>
      <c r="C3" s="28">
        <v>10</v>
      </c>
      <c r="D3" s="28">
        <v>30</v>
      </c>
      <c r="E3" s="28">
        <v>10</v>
      </c>
      <c r="F3" s="28">
        <v>10</v>
      </c>
      <c r="G3" s="28">
        <v>10</v>
      </c>
      <c r="H3" s="28">
        <v>10</v>
      </c>
      <c r="I3" s="28">
        <v>10</v>
      </c>
      <c r="J3" s="28">
        <v>10</v>
      </c>
      <c r="K3" s="28">
        <v>20</v>
      </c>
      <c r="L3" s="28">
        <v>20</v>
      </c>
      <c r="M3" s="28">
        <v>20</v>
      </c>
      <c r="N3" s="28">
        <v>10</v>
      </c>
      <c r="O3" s="28">
        <v>10</v>
      </c>
      <c r="P3" s="29">
        <v>10</v>
      </c>
      <c r="Q3" s="29">
        <v>10</v>
      </c>
      <c r="R3" s="29">
        <f>SUM(C3:Q3)</f>
        <v>200</v>
      </c>
    </row>
    <row r="4" spans="1:19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27" t="s">
        <v>82</v>
      </c>
      <c r="G4" s="27" t="s">
        <v>83</v>
      </c>
      <c r="H4" s="27" t="s">
        <v>84</v>
      </c>
      <c r="I4" s="27" t="s">
        <v>85</v>
      </c>
      <c r="J4" s="34">
        <v>45690</v>
      </c>
      <c r="K4" s="34">
        <v>45717</v>
      </c>
      <c r="L4" s="34">
        <v>45718</v>
      </c>
      <c r="M4" s="34">
        <v>45748</v>
      </c>
      <c r="N4" s="34">
        <v>45749</v>
      </c>
      <c r="O4" s="34">
        <v>45778</v>
      </c>
      <c r="P4" s="34">
        <v>45779</v>
      </c>
      <c r="Q4" s="34">
        <v>45780</v>
      </c>
      <c r="R4" s="27" t="s">
        <v>53</v>
      </c>
      <c r="S4" s="17" t="s">
        <v>54</v>
      </c>
    </row>
    <row r="5" spans="1:19" ht="14.5" x14ac:dyDescent="0.35">
      <c r="A5" s="17">
        <v>1</v>
      </c>
      <c r="B5" s="17" t="s">
        <v>19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>
        <f t="shared" ref="R5:R42" si="0">SUM(C5:Q5)/10</f>
        <v>0</v>
      </c>
      <c r="S5" s="26" t="str">
        <f t="shared" ref="S5:S42" si="1">IF(R5&gt;=18,"M. Bom",IF(R5&gt;=14,"Bom",IF(R5&gt;=10,"Suf.","Insuf")))</f>
        <v>Insuf</v>
      </c>
    </row>
    <row r="6" spans="1:19" ht="14.5" x14ac:dyDescent="0.35">
      <c r="A6" s="17">
        <v>2</v>
      </c>
      <c r="B6" s="17" t="s">
        <v>20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>
        <f t="shared" si="0"/>
        <v>0</v>
      </c>
      <c r="S6" s="26" t="str">
        <f t="shared" si="1"/>
        <v>Insuf</v>
      </c>
    </row>
    <row r="7" spans="1:19" ht="14.5" x14ac:dyDescent="0.35">
      <c r="A7" s="17">
        <v>3</v>
      </c>
      <c r="B7" s="17" t="s">
        <v>21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"/>
      <c r="Q7" s="17"/>
      <c r="R7" s="17">
        <f t="shared" si="0"/>
        <v>0</v>
      </c>
      <c r="S7" s="26" t="str">
        <f t="shared" si="1"/>
        <v>Insuf</v>
      </c>
    </row>
    <row r="8" spans="1:19" ht="14.5" x14ac:dyDescent="0.35">
      <c r="A8" s="17">
        <v>4</v>
      </c>
      <c r="B8" s="17" t="s">
        <v>22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>
        <f t="shared" si="0"/>
        <v>0</v>
      </c>
      <c r="S8" s="26" t="str">
        <f t="shared" si="1"/>
        <v>Insuf</v>
      </c>
    </row>
    <row r="9" spans="1:19" ht="14.5" x14ac:dyDescent="0.35">
      <c r="A9" s="17">
        <v>5</v>
      </c>
      <c r="B9" s="17" t="s">
        <v>23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>
        <f t="shared" si="0"/>
        <v>0</v>
      </c>
      <c r="S9" s="26" t="str">
        <f t="shared" si="1"/>
        <v>Insuf</v>
      </c>
    </row>
    <row r="10" spans="1:19" ht="14.5" x14ac:dyDescent="0.35">
      <c r="A10" s="17"/>
      <c r="B10" s="17" t="s">
        <v>24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>
        <f t="shared" si="0"/>
        <v>0</v>
      </c>
      <c r="S10" s="26" t="str">
        <f t="shared" si="1"/>
        <v>Insuf</v>
      </c>
    </row>
    <row r="11" spans="1:19" ht="14.5" x14ac:dyDescent="0.35">
      <c r="A11" s="17">
        <v>6</v>
      </c>
      <c r="B11" s="17" t="s">
        <v>25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>
        <f t="shared" si="0"/>
        <v>0</v>
      </c>
      <c r="S11" s="26" t="str">
        <f t="shared" si="1"/>
        <v>Insuf</v>
      </c>
    </row>
    <row r="12" spans="1:19" ht="14.5" x14ac:dyDescent="0.35">
      <c r="A12" s="17">
        <v>7</v>
      </c>
      <c r="B12" s="17" t="s">
        <v>26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>
        <f t="shared" si="0"/>
        <v>0</v>
      </c>
      <c r="S12" s="26" t="str">
        <f t="shared" si="1"/>
        <v>Insuf</v>
      </c>
    </row>
    <row r="13" spans="1:19" ht="14.5" x14ac:dyDescent="0.35">
      <c r="A13" s="17">
        <v>8</v>
      </c>
      <c r="B13" s="17" t="s">
        <v>27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>
        <f t="shared" si="0"/>
        <v>0</v>
      </c>
      <c r="S13" s="26" t="str">
        <f t="shared" si="1"/>
        <v>Insuf</v>
      </c>
    </row>
    <row r="14" spans="1:19" ht="14.5" x14ac:dyDescent="0.35">
      <c r="A14" s="17">
        <v>9</v>
      </c>
      <c r="B14" s="17" t="s">
        <v>28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>
        <f t="shared" si="0"/>
        <v>0</v>
      </c>
      <c r="S14" s="26" t="str">
        <f t="shared" si="1"/>
        <v>Insuf</v>
      </c>
    </row>
    <row r="15" spans="1:19" ht="14.5" x14ac:dyDescent="0.35">
      <c r="A15" s="17">
        <v>10</v>
      </c>
      <c r="B15" s="17" t="s">
        <v>29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>
        <f t="shared" si="0"/>
        <v>0</v>
      </c>
      <c r="S15" s="26" t="str">
        <f t="shared" si="1"/>
        <v>Insuf</v>
      </c>
    </row>
    <row r="16" spans="1:19" ht="14.5" x14ac:dyDescent="0.35">
      <c r="A16" s="17">
        <v>11</v>
      </c>
      <c r="B16" s="17" t="s">
        <v>31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>
        <f t="shared" si="0"/>
        <v>0</v>
      </c>
      <c r="S16" s="26" t="str">
        <f t="shared" si="1"/>
        <v>Insuf</v>
      </c>
    </row>
    <row r="17" spans="1:19" ht="14.5" x14ac:dyDescent="0.35">
      <c r="A17" s="17">
        <v>12</v>
      </c>
      <c r="B17" s="17" t="s">
        <v>36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>
        <f t="shared" si="0"/>
        <v>0</v>
      </c>
      <c r="S17" s="26" t="str">
        <f t="shared" si="1"/>
        <v>Insuf</v>
      </c>
    </row>
    <row r="18" spans="1:19" ht="14.5" x14ac:dyDescent="0.35">
      <c r="A18" s="17">
        <v>13</v>
      </c>
      <c r="B18" s="17" t="s">
        <v>47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>
        <f t="shared" si="0"/>
        <v>0</v>
      </c>
      <c r="S18" s="26" t="str">
        <f t="shared" si="1"/>
        <v>Insuf</v>
      </c>
    </row>
    <row r="19" spans="1:19" ht="14.5" x14ac:dyDescent="0.35">
      <c r="A19" s="17">
        <v>14</v>
      </c>
      <c r="B19" s="17" t="s">
        <v>48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>
        <f t="shared" si="0"/>
        <v>0</v>
      </c>
      <c r="S19" s="26" t="str">
        <f t="shared" si="1"/>
        <v>Insuf</v>
      </c>
    </row>
    <row r="20" spans="1:19" ht="14.5" x14ac:dyDescent="0.35">
      <c r="A20" s="17">
        <v>15</v>
      </c>
      <c r="B20" s="17" t="s">
        <v>59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>
        <f t="shared" si="0"/>
        <v>0</v>
      </c>
      <c r="S20" s="26" t="str">
        <f t="shared" si="1"/>
        <v>Insuf</v>
      </c>
    </row>
    <row r="21" spans="1:19" ht="14.5" x14ac:dyDescent="0.35">
      <c r="A21" s="17">
        <v>16</v>
      </c>
      <c r="B21" s="17" t="s">
        <v>60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>
        <f t="shared" si="0"/>
        <v>0</v>
      </c>
      <c r="S21" s="26" t="str">
        <f t="shared" si="1"/>
        <v>Insuf</v>
      </c>
    </row>
    <row r="22" spans="1:19" ht="14.5" x14ac:dyDescent="0.35">
      <c r="A22" s="17">
        <v>17</v>
      </c>
      <c r="B22" s="17" t="s">
        <v>61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>
        <f t="shared" si="0"/>
        <v>0</v>
      </c>
      <c r="S22" s="26" t="str">
        <f t="shared" si="1"/>
        <v>Insuf</v>
      </c>
    </row>
    <row r="23" spans="1:19" ht="14.5" x14ac:dyDescent="0.35">
      <c r="A23" s="17">
        <v>18</v>
      </c>
      <c r="B23" s="17" t="s">
        <v>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>
        <f t="shared" si="0"/>
        <v>0</v>
      </c>
      <c r="S23" s="26" t="str">
        <f t="shared" si="1"/>
        <v>Insuf</v>
      </c>
    </row>
    <row r="24" spans="1:19" ht="14.5" x14ac:dyDescent="0.35">
      <c r="A24" s="17">
        <v>19</v>
      </c>
      <c r="B24" s="17" t="s">
        <v>63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>
        <f t="shared" si="0"/>
        <v>0</v>
      </c>
      <c r="S24" s="26" t="str">
        <f t="shared" si="1"/>
        <v>Insuf</v>
      </c>
    </row>
    <row r="25" spans="1:19" ht="14.5" x14ac:dyDescent="0.35">
      <c r="A25" s="17">
        <v>20</v>
      </c>
      <c r="B25" s="17" t="s">
        <v>64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>
        <f t="shared" si="0"/>
        <v>0</v>
      </c>
      <c r="S25" s="26" t="str">
        <f t="shared" si="1"/>
        <v>Insuf</v>
      </c>
    </row>
    <row r="26" spans="1:19" ht="14.5" x14ac:dyDescent="0.35">
      <c r="A26" s="17">
        <v>21</v>
      </c>
      <c r="B26" s="17" t="s">
        <v>65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>
        <f t="shared" si="0"/>
        <v>0</v>
      </c>
      <c r="S26" s="26" t="str">
        <f t="shared" si="1"/>
        <v>Insuf</v>
      </c>
    </row>
    <row r="27" spans="1:19" ht="14.5" x14ac:dyDescent="0.35">
      <c r="A27" s="17">
        <v>22</v>
      </c>
      <c r="B27" s="17" t="s">
        <v>66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>
        <f t="shared" si="0"/>
        <v>0</v>
      </c>
      <c r="S27" s="26" t="str">
        <f t="shared" si="1"/>
        <v>Insuf</v>
      </c>
    </row>
    <row r="28" spans="1:19" ht="14.5" x14ac:dyDescent="0.35">
      <c r="A28" s="17">
        <v>23</v>
      </c>
      <c r="B28" s="17" t="s">
        <v>67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>
        <f t="shared" si="0"/>
        <v>0</v>
      </c>
      <c r="S28" s="26" t="str">
        <f t="shared" si="1"/>
        <v>Insuf</v>
      </c>
    </row>
    <row r="29" spans="1:19" ht="14.5" x14ac:dyDescent="0.35">
      <c r="A29" s="17">
        <v>24</v>
      </c>
      <c r="B29" s="17" t="s">
        <v>68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>
        <f t="shared" si="0"/>
        <v>0</v>
      </c>
      <c r="S29" s="26" t="str">
        <f t="shared" si="1"/>
        <v>Insuf</v>
      </c>
    </row>
    <row r="30" spans="1:19" ht="14.5" x14ac:dyDescent="0.35">
      <c r="A30" s="17">
        <v>26</v>
      </c>
      <c r="B30" s="17" t="s">
        <v>91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>
        <f t="shared" si="0"/>
        <v>0</v>
      </c>
      <c r="S30" s="26" t="str">
        <f t="shared" si="1"/>
        <v>Insuf</v>
      </c>
    </row>
    <row r="31" spans="1:19" ht="14.5" x14ac:dyDescent="0.35">
      <c r="A31" s="17">
        <v>27</v>
      </c>
      <c r="B31" s="17" t="s">
        <v>70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>
        <f t="shared" si="0"/>
        <v>0</v>
      </c>
      <c r="S31" s="26" t="str">
        <f t="shared" si="1"/>
        <v>Insuf</v>
      </c>
    </row>
    <row r="32" spans="1:19" ht="14.5" x14ac:dyDescent="0.35">
      <c r="A32" s="17">
        <v>28</v>
      </c>
      <c r="B32" s="17" t="s">
        <v>71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>
        <f t="shared" si="0"/>
        <v>0</v>
      </c>
      <c r="S32" s="26" t="str">
        <f t="shared" si="1"/>
        <v>Insuf</v>
      </c>
    </row>
    <row r="33" spans="1:19" ht="14.5" x14ac:dyDescent="0.35">
      <c r="A33" s="17">
        <v>29</v>
      </c>
      <c r="B33" s="17" t="s">
        <v>72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>
        <f t="shared" si="0"/>
        <v>0</v>
      </c>
      <c r="S33" s="26" t="str">
        <f t="shared" si="1"/>
        <v>Insuf</v>
      </c>
    </row>
    <row r="34" spans="1:19" ht="14.5" x14ac:dyDescent="0.35">
      <c r="A34" s="17">
        <v>30</v>
      </c>
      <c r="B34" s="17" t="s">
        <v>73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>
        <f t="shared" si="0"/>
        <v>0</v>
      </c>
      <c r="S34" s="26" t="str">
        <f t="shared" si="1"/>
        <v>Insuf</v>
      </c>
    </row>
    <row r="35" spans="1:19" ht="14.5" x14ac:dyDescent="0.35">
      <c r="A35" s="17">
        <v>31</v>
      </c>
      <c r="B35" s="17" t="s">
        <v>74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>
        <f t="shared" si="0"/>
        <v>0</v>
      </c>
      <c r="S35" s="26" t="str">
        <f t="shared" si="1"/>
        <v>Insuf</v>
      </c>
    </row>
    <row r="36" spans="1:19" ht="14.5" x14ac:dyDescent="0.35">
      <c r="A36" s="17">
        <v>32</v>
      </c>
      <c r="B36" s="17" t="s">
        <v>75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>
        <f t="shared" si="0"/>
        <v>0</v>
      </c>
      <c r="S36" s="26" t="str">
        <f t="shared" si="1"/>
        <v>Insuf</v>
      </c>
    </row>
    <row r="37" spans="1:19" ht="14.5" x14ac:dyDescent="0.35">
      <c r="A37" s="17">
        <v>33</v>
      </c>
      <c r="B37" s="17" t="s">
        <v>76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>
        <f t="shared" si="0"/>
        <v>0</v>
      </c>
      <c r="S37" s="26" t="str">
        <f t="shared" si="1"/>
        <v>Insuf</v>
      </c>
    </row>
    <row r="38" spans="1:19" ht="14.5" x14ac:dyDescent="0.35">
      <c r="A38" s="17">
        <v>34</v>
      </c>
      <c r="B38" s="17" t="s">
        <v>77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>
        <f t="shared" si="0"/>
        <v>0</v>
      </c>
      <c r="S38" s="26" t="str">
        <f t="shared" si="1"/>
        <v>Insuf</v>
      </c>
    </row>
    <row r="39" spans="1:19" ht="14.5" x14ac:dyDescent="0.35">
      <c r="A39" s="17">
        <v>35</v>
      </c>
      <c r="B39" s="17" t="s">
        <v>78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>
        <f t="shared" si="0"/>
        <v>0</v>
      </c>
      <c r="S39" s="26" t="str">
        <f t="shared" si="1"/>
        <v>Insuf</v>
      </c>
    </row>
    <row r="40" spans="1:19" ht="14.5" x14ac:dyDescent="0.35">
      <c r="A40" s="17">
        <v>36</v>
      </c>
      <c r="B40" s="17" t="s">
        <v>79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>
        <f t="shared" si="0"/>
        <v>0</v>
      </c>
      <c r="S40" s="26" t="str">
        <f t="shared" si="1"/>
        <v>Insuf</v>
      </c>
    </row>
    <row r="41" spans="1:19" ht="15.75" customHeight="1" x14ac:dyDescent="0.35">
      <c r="A41" s="17">
        <v>37</v>
      </c>
      <c r="B41" s="17" t="s">
        <v>80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>
        <f t="shared" si="0"/>
        <v>0</v>
      </c>
      <c r="S41" s="26" t="str">
        <f t="shared" si="1"/>
        <v>Insuf</v>
      </c>
    </row>
    <row r="42" spans="1:19" ht="15.75" customHeight="1" x14ac:dyDescent="0.35">
      <c r="A42" s="17">
        <v>38</v>
      </c>
      <c r="B42" s="17" t="s">
        <v>81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>
        <f t="shared" si="0"/>
        <v>0</v>
      </c>
      <c r="S42" s="26" t="str">
        <f t="shared" si="1"/>
        <v>Insuf</v>
      </c>
    </row>
    <row r="43" spans="1:19" ht="15.75" customHeigh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26"/>
    </row>
    <row r="44" spans="1:19" ht="15.75" customHeight="1" x14ac:dyDescent="0.35"/>
    <row r="45" spans="1:19" ht="15.75" customHeight="1" x14ac:dyDescent="0.35">
      <c r="C45" s="32" t="e">
        <f t="shared" ref="C45:Q45" si="2">SUM(C5:C43)/(COUNT(C5:C43)*C3)</f>
        <v>#DIV/0!</v>
      </c>
      <c r="D45" s="32" t="e">
        <f t="shared" si="2"/>
        <v>#DIV/0!</v>
      </c>
      <c r="E45" s="32" t="e">
        <f t="shared" si="2"/>
        <v>#DIV/0!</v>
      </c>
      <c r="F45" s="32" t="e">
        <f t="shared" si="2"/>
        <v>#DIV/0!</v>
      </c>
      <c r="G45" s="32" t="e">
        <f t="shared" si="2"/>
        <v>#DIV/0!</v>
      </c>
      <c r="H45" s="32" t="e">
        <f t="shared" si="2"/>
        <v>#DIV/0!</v>
      </c>
      <c r="I45" s="32" t="e">
        <f t="shared" si="2"/>
        <v>#DIV/0!</v>
      </c>
      <c r="J45" s="32" t="e">
        <f t="shared" si="2"/>
        <v>#DIV/0!</v>
      </c>
      <c r="K45" s="32" t="e">
        <f t="shared" si="2"/>
        <v>#DIV/0!</v>
      </c>
      <c r="L45" s="32" t="e">
        <f t="shared" si="2"/>
        <v>#DIV/0!</v>
      </c>
      <c r="M45" s="32" t="e">
        <f t="shared" si="2"/>
        <v>#DIV/0!</v>
      </c>
      <c r="N45" s="32" t="e">
        <f t="shared" si="2"/>
        <v>#DIV/0!</v>
      </c>
      <c r="O45" s="32" t="e">
        <f t="shared" si="2"/>
        <v>#DIV/0!</v>
      </c>
      <c r="P45" s="32" t="e">
        <f t="shared" si="2"/>
        <v>#DIV/0!</v>
      </c>
      <c r="Q45" s="32" t="e">
        <f t="shared" si="2"/>
        <v>#DIV/0!</v>
      </c>
    </row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</sheetData>
  <conditionalFormatting sqref="R5:R43">
    <cfRule type="cellIs" dxfId="10" priority="1" operator="lessThan">
      <formula>10</formula>
    </cfRule>
  </conditionalFormatting>
  <conditionalFormatting sqref="S5:S43">
    <cfRule type="cellIs" dxfId="9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20"/>
  <sheetViews>
    <sheetView workbookViewId="0">
      <pane ySplit="4" topLeftCell="A38" activePane="bottomLeft" state="frozen"/>
      <selection pane="bottomLeft" activeCell="Q1" sqref="Q1:R1048576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4" width="7" customWidth="1"/>
    <col min="15" max="15" width="7.08984375" customWidth="1"/>
    <col min="16" max="16" width="10.453125" customWidth="1"/>
    <col min="17" max="19" width="8.7265625" customWidth="1"/>
  </cols>
  <sheetData>
    <row r="1" spans="1:16" ht="14.5" x14ac:dyDescent="0.35">
      <c r="A1" s="1" t="s">
        <v>0</v>
      </c>
    </row>
    <row r="2" spans="1:16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6" ht="14.5" x14ac:dyDescent="0.35">
      <c r="A3" s="22" t="s">
        <v>13</v>
      </c>
      <c r="B3" s="27" t="s">
        <v>46</v>
      </c>
      <c r="C3" s="28">
        <v>10</v>
      </c>
      <c r="D3" s="28">
        <v>20</v>
      </c>
      <c r="E3" s="28">
        <v>30</v>
      </c>
      <c r="F3" s="28">
        <v>20</v>
      </c>
      <c r="G3" s="28">
        <v>15</v>
      </c>
      <c r="H3" s="28">
        <v>20</v>
      </c>
      <c r="I3" s="28">
        <v>20</v>
      </c>
      <c r="J3" s="28">
        <v>20</v>
      </c>
      <c r="K3" s="28">
        <v>5</v>
      </c>
      <c r="L3" s="28">
        <v>20</v>
      </c>
      <c r="M3" s="28">
        <v>10</v>
      </c>
      <c r="N3" s="28">
        <v>10</v>
      </c>
      <c r="O3" s="29">
        <f>SUM(C3:N3)</f>
        <v>200</v>
      </c>
    </row>
    <row r="4" spans="1:16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27" t="s">
        <v>87</v>
      </c>
      <c r="G4" s="27" t="s">
        <v>88</v>
      </c>
      <c r="H4" s="34">
        <v>45748</v>
      </c>
      <c r="I4" s="34">
        <v>45749</v>
      </c>
      <c r="J4" s="34">
        <v>45778</v>
      </c>
      <c r="K4" s="34">
        <v>45779</v>
      </c>
      <c r="L4" s="34">
        <v>45809</v>
      </c>
      <c r="M4" s="34">
        <v>45810</v>
      </c>
      <c r="N4" s="34">
        <v>45811</v>
      </c>
      <c r="O4" s="27" t="s">
        <v>53</v>
      </c>
      <c r="P4" s="17" t="s">
        <v>54</v>
      </c>
    </row>
    <row r="5" spans="1:16" ht="14.5" x14ac:dyDescent="0.35">
      <c r="A5" s="17">
        <v>1</v>
      </c>
      <c r="B5" s="17" t="s">
        <v>19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f t="shared" ref="O5:O42" si="0">SUM(C5:N5)/10</f>
        <v>0</v>
      </c>
      <c r="P5" s="26" t="str">
        <f t="shared" ref="P5:P42" si="1">IF(O5&gt;=18,"M. Bom",IF(O5&gt;=14,"Bom",IF(O5&gt;=10,"Suf.","Insuf")))</f>
        <v>Insuf</v>
      </c>
    </row>
    <row r="6" spans="1:16" ht="14.5" x14ac:dyDescent="0.35">
      <c r="A6" s="17">
        <v>2</v>
      </c>
      <c r="B6" s="17" t="s">
        <v>20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>
        <f t="shared" si="0"/>
        <v>0</v>
      </c>
      <c r="P6" s="26" t="str">
        <f t="shared" si="1"/>
        <v>Insuf</v>
      </c>
    </row>
    <row r="7" spans="1:16" ht="14.5" x14ac:dyDescent="0.35">
      <c r="A7" s="17">
        <v>3</v>
      </c>
      <c r="B7" s="17" t="s">
        <v>21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>
        <f t="shared" si="0"/>
        <v>0</v>
      </c>
      <c r="P7" s="26" t="str">
        <f t="shared" si="1"/>
        <v>Insuf</v>
      </c>
    </row>
    <row r="8" spans="1:16" ht="14.5" x14ac:dyDescent="0.35">
      <c r="A8" s="17">
        <v>4</v>
      </c>
      <c r="B8" s="17" t="s">
        <v>22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f t="shared" si="0"/>
        <v>0</v>
      </c>
      <c r="P8" s="26" t="str">
        <f t="shared" si="1"/>
        <v>Insuf</v>
      </c>
    </row>
    <row r="9" spans="1:16" ht="14.5" x14ac:dyDescent="0.35">
      <c r="A9" s="17">
        <v>5</v>
      </c>
      <c r="B9" s="17" t="s">
        <v>23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>
        <f t="shared" si="0"/>
        <v>0</v>
      </c>
      <c r="P9" s="26" t="str">
        <f t="shared" si="1"/>
        <v>Insuf</v>
      </c>
    </row>
    <row r="10" spans="1:16" ht="14.5" x14ac:dyDescent="0.35">
      <c r="A10" s="17"/>
      <c r="B10" s="17" t="s">
        <v>24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>
        <f t="shared" si="0"/>
        <v>0</v>
      </c>
      <c r="P10" s="26" t="str">
        <f t="shared" si="1"/>
        <v>Insuf</v>
      </c>
    </row>
    <row r="11" spans="1:16" ht="14.5" x14ac:dyDescent="0.35">
      <c r="A11" s="17">
        <v>6</v>
      </c>
      <c r="B11" s="17" t="s">
        <v>25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f t="shared" si="0"/>
        <v>0</v>
      </c>
      <c r="P11" s="26" t="str">
        <f t="shared" si="1"/>
        <v>Insuf</v>
      </c>
    </row>
    <row r="12" spans="1:16" ht="14.5" x14ac:dyDescent="0.35">
      <c r="A12" s="17">
        <v>7</v>
      </c>
      <c r="B12" s="17" t="s">
        <v>26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f t="shared" si="0"/>
        <v>0</v>
      </c>
      <c r="P12" s="26" t="str">
        <f t="shared" si="1"/>
        <v>Insuf</v>
      </c>
    </row>
    <row r="13" spans="1:16" ht="14.5" x14ac:dyDescent="0.35">
      <c r="A13" s="17">
        <v>8</v>
      </c>
      <c r="B13" s="17" t="s">
        <v>27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f t="shared" si="0"/>
        <v>0</v>
      </c>
      <c r="P13" s="26" t="str">
        <f t="shared" si="1"/>
        <v>Insuf</v>
      </c>
    </row>
    <row r="14" spans="1:16" ht="14.5" x14ac:dyDescent="0.35">
      <c r="A14" s="17">
        <v>9</v>
      </c>
      <c r="B14" s="17" t="s">
        <v>28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f t="shared" si="0"/>
        <v>0</v>
      </c>
      <c r="P14" s="26" t="str">
        <f t="shared" si="1"/>
        <v>Insuf</v>
      </c>
    </row>
    <row r="15" spans="1:16" ht="14.5" x14ac:dyDescent="0.35">
      <c r="A15" s="17">
        <v>10</v>
      </c>
      <c r="B15" s="17" t="s">
        <v>29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f t="shared" si="0"/>
        <v>0</v>
      </c>
      <c r="P15" s="26" t="str">
        <f t="shared" si="1"/>
        <v>Insuf</v>
      </c>
    </row>
    <row r="16" spans="1:16" ht="14.5" x14ac:dyDescent="0.35">
      <c r="A16" s="17">
        <v>11</v>
      </c>
      <c r="B16" s="17" t="s">
        <v>31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f t="shared" si="0"/>
        <v>0</v>
      </c>
      <c r="P16" s="26" t="str">
        <f t="shared" si="1"/>
        <v>Insuf</v>
      </c>
    </row>
    <row r="17" spans="1:16" ht="14.5" x14ac:dyDescent="0.35">
      <c r="A17" s="17">
        <v>12</v>
      </c>
      <c r="B17" s="17" t="s">
        <v>36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f t="shared" si="0"/>
        <v>0</v>
      </c>
      <c r="P17" s="26" t="str">
        <f t="shared" si="1"/>
        <v>Insuf</v>
      </c>
    </row>
    <row r="18" spans="1:16" ht="14.5" x14ac:dyDescent="0.35">
      <c r="A18" s="17">
        <v>13</v>
      </c>
      <c r="B18" s="17" t="s">
        <v>47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f t="shared" si="0"/>
        <v>0</v>
      </c>
      <c r="P18" s="26" t="str">
        <f t="shared" si="1"/>
        <v>Insuf</v>
      </c>
    </row>
    <row r="19" spans="1:16" ht="14.5" x14ac:dyDescent="0.35">
      <c r="A19" s="17">
        <v>14</v>
      </c>
      <c r="B19" s="17" t="s">
        <v>48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>
        <f t="shared" si="0"/>
        <v>0</v>
      </c>
      <c r="P19" s="26" t="str">
        <f t="shared" si="1"/>
        <v>Insuf</v>
      </c>
    </row>
    <row r="20" spans="1:16" ht="14.5" x14ac:dyDescent="0.35">
      <c r="A20" s="17">
        <v>15</v>
      </c>
      <c r="B20" s="17" t="s">
        <v>59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f t="shared" si="0"/>
        <v>0</v>
      </c>
      <c r="P20" s="26" t="str">
        <f t="shared" si="1"/>
        <v>Insuf</v>
      </c>
    </row>
    <row r="21" spans="1:16" ht="14.5" x14ac:dyDescent="0.35">
      <c r="A21" s="17">
        <v>16</v>
      </c>
      <c r="B21" s="17" t="s">
        <v>60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f t="shared" si="0"/>
        <v>0</v>
      </c>
      <c r="P21" s="26" t="str">
        <f t="shared" si="1"/>
        <v>Insuf</v>
      </c>
    </row>
    <row r="22" spans="1:16" ht="14.5" x14ac:dyDescent="0.35">
      <c r="A22" s="17">
        <v>17</v>
      </c>
      <c r="B22" s="17" t="s">
        <v>61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f t="shared" si="0"/>
        <v>0</v>
      </c>
      <c r="P22" s="26" t="str">
        <f t="shared" si="1"/>
        <v>Insuf</v>
      </c>
    </row>
    <row r="23" spans="1:16" ht="14.5" x14ac:dyDescent="0.35">
      <c r="A23" s="17">
        <v>18</v>
      </c>
      <c r="B23" s="17" t="s">
        <v>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f t="shared" si="0"/>
        <v>0</v>
      </c>
      <c r="P23" s="26" t="str">
        <f t="shared" si="1"/>
        <v>Insuf</v>
      </c>
    </row>
    <row r="24" spans="1:16" ht="14.5" x14ac:dyDescent="0.35">
      <c r="A24" s="17">
        <v>19</v>
      </c>
      <c r="B24" s="17" t="s">
        <v>63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f t="shared" si="0"/>
        <v>0</v>
      </c>
      <c r="P24" s="26" t="str">
        <f t="shared" si="1"/>
        <v>Insuf</v>
      </c>
    </row>
    <row r="25" spans="1:16" ht="14.5" x14ac:dyDescent="0.35">
      <c r="A25" s="17">
        <v>20</v>
      </c>
      <c r="B25" s="17" t="s">
        <v>64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f t="shared" si="0"/>
        <v>0</v>
      </c>
      <c r="P25" s="26" t="str">
        <f t="shared" si="1"/>
        <v>Insuf</v>
      </c>
    </row>
    <row r="26" spans="1:16" ht="14.5" x14ac:dyDescent="0.35">
      <c r="A26" s="17">
        <v>21</v>
      </c>
      <c r="B26" s="17" t="s">
        <v>65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f t="shared" si="0"/>
        <v>0</v>
      </c>
      <c r="P26" s="26" t="str">
        <f t="shared" si="1"/>
        <v>Insuf</v>
      </c>
    </row>
    <row r="27" spans="1:16" ht="14.5" x14ac:dyDescent="0.35">
      <c r="A27" s="17">
        <v>22</v>
      </c>
      <c r="B27" s="17" t="s">
        <v>66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f t="shared" si="0"/>
        <v>0</v>
      </c>
      <c r="P27" s="26" t="str">
        <f t="shared" si="1"/>
        <v>Insuf</v>
      </c>
    </row>
    <row r="28" spans="1:16" ht="14.5" x14ac:dyDescent="0.35">
      <c r="A28" s="17">
        <v>23</v>
      </c>
      <c r="B28" s="17" t="s">
        <v>67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f t="shared" si="0"/>
        <v>0</v>
      </c>
      <c r="P28" s="26" t="str">
        <f t="shared" si="1"/>
        <v>Insuf</v>
      </c>
    </row>
    <row r="29" spans="1:16" ht="14.5" x14ac:dyDescent="0.35">
      <c r="A29" s="17">
        <v>24</v>
      </c>
      <c r="B29" s="17" t="s">
        <v>68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f t="shared" si="0"/>
        <v>0</v>
      </c>
      <c r="P29" s="26" t="str">
        <f t="shared" si="1"/>
        <v>Insuf</v>
      </c>
    </row>
    <row r="30" spans="1:16" ht="14.5" x14ac:dyDescent="0.35">
      <c r="A30" s="17">
        <v>26</v>
      </c>
      <c r="B30" s="17" t="s">
        <v>91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f t="shared" si="0"/>
        <v>0</v>
      </c>
      <c r="P30" s="26" t="str">
        <f t="shared" si="1"/>
        <v>Insuf</v>
      </c>
    </row>
    <row r="31" spans="1:16" ht="14.5" x14ac:dyDescent="0.35">
      <c r="A31" s="17">
        <v>27</v>
      </c>
      <c r="B31" s="17" t="s">
        <v>70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f t="shared" si="0"/>
        <v>0</v>
      </c>
      <c r="P31" s="26" t="str">
        <f t="shared" si="1"/>
        <v>Insuf</v>
      </c>
    </row>
    <row r="32" spans="1:16" ht="14.5" x14ac:dyDescent="0.35">
      <c r="A32" s="17">
        <v>28</v>
      </c>
      <c r="B32" s="17" t="s">
        <v>71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f t="shared" si="0"/>
        <v>0</v>
      </c>
      <c r="P32" s="26" t="str">
        <f t="shared" si="1"/>
        <v>Insuf</v>
      </c>
    </row>
    <row r="33" spans="1:16" ht="14.5" x14ac:dyDescent="0.35">
      <c r="A33" s="17">
        <v>29</v>
      </c>
      <c r="B33" s="17" t="s">
        <v>72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f t="shared" si="0"/>
        <v>0</v>
      </c>
      <c r="P33" s="26" t="str">
        <f t="shared" si="1"/>
        <v>Insuf</v>
      </c>
    </row>
    <row r="34" spans="1:16" ht="14.5" x14ac:dyDescent="0.35">
      <c r="A34" s="17">
        <v>30</v>
      </c>
      <c r="B34" s="17" t="s">
        <v>73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f t="shared" si="0"/>
        <v>0</v>
      </c>
      <c r="P34" s="26" t="str">
        <f t="shared" si="1"/>
        <v>Insuf</v>
      </c>
    </row>
    <row r="35" spans="1:16" ht="14.5" x14ac:dyDescent="0.35">
      <c r="A35" s="17">
        <v>31</v>
      </c>
      <c r="B35" s="17" t="s">
        <v>74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f t="shared" si="0"/>
        <v>0</v>
      </c>
      <c r="P35" s="26" t="str">
        <f t="shared" si="1"/>
        <v>Insuf</v>
      </c>
    </row>
    <row r="36" spans="1:16" ht="14.5" x14ac:dyDescent="0.35">
      <c r="A36" s="17">
        <v>32</v>
      </c>
      <c r="B36" s="17" t="s">
        <v>75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f t="shared" si="0"/>
        <v>0</v>
      </c>
      <c r="P36" s="26" t="str">
        <f t="shared" si="1"/>
        <v>Insuf</v>
      </c>
    </row>
    <row r="37" spans="1:16" ht="14.5" x14ac:dyDescent="0.35">
      <c r="A37" s="17">
        <v>33</v>
      </c>
      <c r="B37" s="17" t="s">
        <v>76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f t="shared" si="0"/>
        <v>0</v>
      </c>
      <c r="P37" s="26" t="str">
        <f t="shared" si="1"/>
        <v>Insuf</v>
      </c>
    </row>
    <row r="38" spans="1:16" ht="14.5" x14ac:dyDescent="0.35">
      <c r="A38" s="17">
        <v>34</v>
      </c>
      <c r="B38" s="17" t="s">
        <v>77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f t="shared" si="0"/>
        <v>0</v>
      </c>
      <c r="P38" s="26" t="str">
        <f t="shared" si="1"/>
        <v>Insuf</v>
      </c>
    </row>
    <row r="39" spans="1:16" ht="14.5" x14ac:dyDescent="0.35">
      <c r="A39" s="17">
        <v>35</v>
      </c>
      <c r="B39" s="17" t="s">
        <v>78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f t="shared" si="0"/>
        <v>0</v>
      </c>
      <c r="P39" s="26" t="str">
        <f t="shared" si="1"/>
        <v>Insuf</v>
      </c>
    </row>
    <row r="40" spans="1:16" ht="14.5" x14ac:dyDescent="0.35">
      <c r="A40" s="17">
        <v>36</v>
      </c>
      <c r="B40" s="17" t="s">
        <v>79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f t="shared" si="0"/>
        <v>0</v>
      </c>
      <c r="P40" s="26" t="str">
        <f t="shared" si="1"/>
        <v>Insuf</v>
      </c>
    </row>
    <row r="41" spans="1:16" ht="15.75" customHeight="1" x14ac:dyDescent="0.35">
      <c r="A41" s="17">
        <v>37</v>
      </c>
      <c r="B41" s="17" t="s">
        <v>80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f t="shared" si="0"/>
        <v>0</v>
      </c>
      <c r="P41" s="26" t="str">
        <f t="shared" si="1"/>
        <v>Insuf</v>
      </c>
    </row>
    <row r="42" spans="1:16" ht="15.75" customHeight="1" x14ac:dyDescent="0.35">
      <c r="A42" s="17">
        <v>38</v>
      </c>
      <c r="B42" s="17" t="s">
        <v>81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f t="shared" si="0"/>
        <v>0</v>
      </c>
      <c r="P42" s="26" t="str">
        <f t="shared" si="1"/>
        <v>Insuf</v>
      </c>
    </row>
    <row r="43" spans="1:16" ht="15.75" customHeigh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6"/>
    </row>
    <row r="44" spans="1:16" ht="15.75" customHeight="1" x14ac:dyDescent="0.35"/>
    <row r="45" spans="1:16" ht="15.75" customHeight="1" x14ac:dyDescent="0.35">
      <c r="C45" s="32" t="e">
        <f t="shared" ref="C45:N45" si="2">SUM(C5:C43)/(COUNT(C5:C43)*C3)</f>
        <v>#DIV/0!</v>
      </c>
      <c r="D45" s="32" t="e">
        <f t="shared" si="2"/>
        <v>#DIV/0!</v>
      </c>
      <c r="E45" s="32" t="e">
        <f t="shared" si="2"/>
        <v>#DIV/0!</v>
      </c>
      <c r="F45" s="32" t="e">
        <f t="shared" si="2"/>
        <v>#DIV/0!</v>
      </c>
      <c r="G45" s="32" t="e">
        <f t="shared" si="2"/>
        <v>#DIV/0!</v>
      </c>
      <c r="H45" s="32" t="e">
        <f t="shared" si="2"/>
        <v>#DIV/0!</v>
      </c>
      <c r="I45" s="32" t="e">
        <f t="shared" si="2"/>
        <v>#DIV/0!</v>
      </c>
      <c r="J45" s="32" t="e">
        <f t="shared" si="2"/>
        <v>#DIV/0!</v>
      </c>
      <c r="K45" s="32" t="e">
        <f t="shared" si="2"/>
        <v>#DIV/0!</v>
      </c>
      <c r="L45" s="32" t="e">
        <f t="shared" si="2"/>
        <v>#DIV/0!</v>
      </c>
      <c r="M45" s="32" t="e">
        <f t="shared" si="2"/>
        <v>#DIV/0!</v>
      </c>
      <c r="N45" s="32" t="e">
        <f t="shared" si="2"/>
        <v>#DIV/0!</v>
      </c>
    </row>
    <row r="46" spans="1:16" ht="15.75" customHeight="1" x14ac:dyDescent="0.35"/>
    <row r="47" spans="1:16" ht="15.75" customHeight="1" x14ac:dyDescent="0.35"/>
    <row r="48" spans="1:1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</sheetData>
  <conditionalFormatting sqref="O5:O43">
    <cfRule type="cellIs" dxfId="8" priority="1" operator="lessThan">
      <formula>10</formula>
    </cfRule>
  </conditionalFormatting>
  <conditionalFormatting sqref="P5:P43">
    <cfRule type="cellIs" dxfId="7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20"/>
  <sheetViews>
    <sheetView workbookViewId="0">
      <pane ySplit="4" topLeftCell="A29" activePane="bottomLeft" state="frozen"/>
      <selection pane="bottomLeft" activeCell="C5" sqref="C5:N42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4" width="7" customWidth="1"/>
    <col min="15" max="15" width="7.08984375" customWidth="1"/>
    <col min="16" max="16" width="10.453125" customWidth="1"/>
    <col min="17" max="17" width="8.7265625" customWidth="1"/>
  </cols>
  <sheetData>
    <row r="1" spans="1:16" ht="14.5" x14ac:dyDescent="0.35">
      <c r="A1" s="1" t="s">
        <v>0</v>
      </c>
    </row>
    <row r="2" spans="1:16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6" ht="14.5" x14ac:dyDescent="0.35">
      <c r="A3" s="22" t="s">
        <v>14</v>
      </c>
      <c r="B3" s="27" t="s">
        <v>46</v>
      </c>
      <c r="C3" s="28">
        <v>20</v>
      </c>
      <c r="D3" s="28">
        <v>20</v>
      </c>
      <c r="E3" s="28">
        <v>20</v>
      </c>
      <c r="F3" s="28">
        <v>20</v>
      </c>
      <c r="G3" s="28">
        <v>15</v>
      </c>
      <c r="H3" s="28">
        <v>15</v>
      </c>
      <c r="I3" s="28">
        <v>20</v>
      </c>
      <c r="J3" s="28">
        <v>10</v>
      </c>
      <c r="K3" s="28">
        <v>20</v>
      </c>
      <c r="L3" s="28">
        <v>10</v>
      </c>
      <c r="M3" s="28">
        <v>15</v>
      </c>
      <c r="N3" s="28">
        <v>15</v>
      </c>
      <c r="O3" s="29">
        <f>SUM(C3:N3)</f>
        <v>200</v>
      </c>
    </row>
    <row r="4" spans="1:16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34">
        <v>46054</v>
      </c>
      <c r="G4" s="34">
        <v>46055</v>
      </c>
      <c r="H4" s="34">
        <v>46056</v>
      </c>
      <c r="I4" s="34">
        <v>46082</v>
      </c>
      <c r="J4" s="34">
        <v>46083</v>
      </c>
      <c r="K4" s="34">
        <v>46113</v>
      </c>
      <c r="L4" s="34">
        <v>46114</v>
      </c>
      <c r="M4" s="34">
        <v>46143</v>
      </c>
      <c r="N4" s="34">
        <v>46144</v>
      </c>
      <c r="O4" s="27" t="s">
        <v>53</v>
      </c>
      <c r="P4" s="17" t="s">
        <v>54</v>
      </c>
    </row>
    <row r="5" spans="1:16" ht="14.5" x14ac:dyDescent="0.35">
      <c r="A5" s="17">
        <v>1</v>
      </c>
      <c r="B5" s="17" t="s">
        <v>19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f t="shared" ref="O5:O42" si="0">SUM(C5:N5)/10</f>
        <v>0</v>
      </c>
      <c r="P5" s="26" t="str">
        <f t="shared" ref="P5:P42" si="1">IF(O5&gt;=18,"M. Bom",IF(O5&gt;=14,"Bom",IF(O5&gt;=10,"Suf.","Insuf")))</f>
        <v>Insuf</v>
      </c>
    </row>
    <row r="6" spans="1:16" ht="14.5" x14ac:dyDescent="0.35">
      <c r="A6" s="17">
        <v>2</v>
      </c>
      <c r="B6" s="17" t="s">
        <v>20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>
        <f t="shared" si="0"/>
        <v>0</v>
      </c>
      <c r="P6" s="26" t="str">
        <f t="shared" si="1"/>
        <v>Insuf</v>
      </c>
    </row>
    <row r="7" spans="1:16" ht="14.5" x14ac:dyDescent="0.35">
      <c r="A7" s="17">
        <v>3</v>
      </c>
      <c r="B7" s="17" t="s">
        <v>21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>
        <f t="shared" si="0"/>
        <v>0</v>
      </c>
      <c r="P7" s="26" t="str">
        <f t="shared" si="1"/>
        <v>Insuf</v>
      </c>
    </row>
    <row r="8" spans="1:16" ht="14.5" x14ac:dyDescent="0.35">
      <c r="A8" s="17">
        <v>4</v>
      </c>
      <c r="B8" s="17" t="s">
        <v>22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f t="shared" si="0"/>
        <v>0</v>
      </c>
      <c r="P8" s="26" t="str">
        <f t="shared" si="1"/>
        <v>Insuf</v>
      </c>
    </row>
    <row r="9" spans="1:16" ht="14.5" x14ac:dyDescent="0.35">
      <c r="A9" s="17">
        <v>5</v>
      </c>
      <c r="B9" s="17" t="s">
        <v>23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>
        <f t="shared" si="0"/>
        <v>0</v>
      </c>
      <c r="P9" s="26" t="str">
        <f t="shared" si="1"/>
        <v>Insuf</v>
      </c>
    </row>
    <row r="10" spans="1:16" ht="14.5" x14ac:dyDescent="0.35">
      <c r="A10" s="17"/>
      <c r="B10" s="17" t="s">
        <v>24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>
        <f t="shared" si="0"/>
        <v>0</v>
      </c>
      <c r="P10" s="26" t="str">
        <f t="shared" si="1"/>
        <v>Insuf</v>
      </c>
    </row>
    <row r="11" spans="1:16" ht="14.5" x14ac:dyDescent="0.35">
      <c r="A11" s="17">
        <v>6</v>
      </c>
      <c r="B11" s="17" t="s">
        <v>25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f t="shared" si="0"/>
        <v>0</v>
      </c>
      <c r="P11" s="26" t="str">
        <f t="shared" si="1"/>
        <v>Insuf</v>
      </c>
    </row>
    <row r="12" spans="1:16" ht="14.5" x14ac:dyDescent="0.35">
      <c r="A12" s="17">
        <v>7</v>
      </c>
      <c r="B12" s="17" t="s">
        <v>26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f t="shared" si="0"/>
        <v>0</v>
      </c>
      <c r="P12" s="26" t="str">
        <f t="shared" si="1"/>
        <v>Insuf</v>
      </c>
    </row>
    <row r="13" spans="1:16" ht="14.5" x14ac:dyDescent="0.35">
      <c r="A13" s="17">
        <v>8</v>
      </c>
      <c r="B13" s="17" t="s">
        <v>27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f t="shared" si="0"/>
        <v>0</v>
      </c>
      <c r="P13" s="26" t="str">
        <f t="shared" si="1"/>
        <v>Insuf</v>
      </c>
    </row>
    <row r="14" spans="1:16" ht="14.5" x14ac:dyDescent="0.35">
      <c r="A14" s="17">
        <v>9</v>
      </c>
      <c r="B14" s="17" t="s">
        <v>28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f t="shared" si="0"/>
        <v>0</v>
      </c>
      <c r="P14" s="26" t="str">
        <f t="shared" si="1"/>
        <v>Insuf</v>
      </c>
    </row>
    <row r="15" spans="1:16" ht="14.5" x14ac:dyDescent="0.35">
      <c r="A15" s="17">
        <v>10</v>
      </c>
      <c r="B15" s="17" t="s">
        <v>29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f t="shared" si="0"/>
        <v>0</v>
      </c>
      <c r="P15" s="26" t="str">
        <f t="shared" si="1"/>
        <v>Insuf</v>
      </c>
    </row>
    <row r="16" spans="1:16" ht="14.5" x14ac:dyDescent="0.35">
      <c r="A16" s="17">
        <v>11</v>
      </c>
      <c r="B16" s="17" t="s">
        <v>31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f t="shared" si="0"/>
        <v>0</v>
      </c>
      <c r="P16" s="26" t="str">
        <f t="shared" si="1"/>
        <v>Insuf</v>
      </c>
    </row>
    <row r="17" spans="1:16" ht="14.5" x14ac:dyDescent="0.35">
      <c r="A17" s="17">
        <v>12</v>
      </c>
      <c r="B17" s="17" t="s">
        <v>36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f t="shared" si="0"/>
        <v>0</v>
      </c>
      <c r="P17" s="26" t="str">
        <f t="shared" si="1"/>
        <v>Insuf</v>
      </c>
    </row>
    <row r="18" spans="1:16" ht="14.5" x14ac:dyDescent="0.35">
      <c r="A18" s="17">
        <v>13</v>
      </c>
      <c r="B18" s="17" t="s">
        <v>47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f t="shared" si="0"/>
        <v>0</v>
      </c>
      <c r="P18" s="26" t="str">
        <f t="shared" si="1"/>
        <v>Insuf</v>
      </c>
    </row>
    <row r="19" spans="1:16" ht="14.5" x14ac:dyDescent="0.35">
      <c r="A19" s="17">
        <v>14</v>
      </c>
      <c r="B19" s="17" t="s">
        <v>48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>
        <f t="shared" si="0"/>
        <v>0</v>
      </c>
      <c r="P19" s="26" t="str">
        <f t="shared" si="1"/>
        <v>Insuf</v>
      </c>
    </row>
    <row r="20" spans="1:16" ht="14.5" x14ac:dyDescent="0.35">
      <c r="A20" s="17">
        <v>15</v>
      </c>
      <c r="B20" s="17" t="s">
        <v>59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f t="shared" si="0"/>
        <v>0</v>
      </c>
      <c r="P20" s="26" t="str">
        <f t="shared" si="1"/>
        <v>Insuf</v>
      </c>
    </row>
    <row r="21" spans="1:16" ht="14.5" x14ac:dyDescent="0.35">
      <c r="A21" s="17">
        <v>16</v>
      </c>
      <c r="B21" s="17" t="s">
        <v>60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f t="shared" si="0"/>
        <v>0</v>
      </c>
      <c r="P21" s="26" t="str">
        <f t="shared" si="1"/>
        <v>Insuf</v>
      </c>
    </row>
    <row r="22" spans="1:16" ht="14.5" x14ac:dyDescent="0.35">
      <c r="A22" s="17">
        <v>17</v>
      </c>
      <c r="B22" s="17" t="s">
        <v>61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f t="shared" si="0"/>
        <v>0</v>
      </c>
      <c r="P22" s="26" t="str">
        <f t="shared" si="1"/>
        <v>Insuf</v>
      </c>
    </row>
    <row r="23" spans="1:16" ht="14.5" x14ac:dyDescent="0.35">
      <c r="A23" s="17">
        <v>18</v>
      </c>
      <c r="B23" s="17" t="s">
        <v>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f t="shared" si="0"/>
        <v>0</v>
      </c>
      <c r="P23" s="26" t="str">
        <f t="shared" si="1"/>
        <v>Insuf</v>
      </c>
    </row>
    <row r="24" spans="1:16" ht="14.5" x14ac:dyDescent="0.35">
      <c r="A24" s="17">
        <v>19</v>
      </c>
      <c r="B24" s="17" t="s">
        <v>63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f t="shared" si="0"/>
        <v>0</v>
      </c>
      <c r="P24" s="26" t="str">
        <f t="shared" si="1"/>
        <v>Insuf</v>
      </c>
    </row>
    <row r="25" spans="1:16" ht="14.5" x14ac:dyDescent="0.35">
      <c r="A25" s="17">
        <v>20</v>
      </c>
      <c r="B25" s="17" t="s">
        <v>64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f t="shared" si="0"/>
        <v>0</v>
      </c>
      <c r="P25" s="26" t="str">
        <f t="shared" si="1"/>
        <v>Insuf</v>
      </c>
    </row>
    <row r="26" spans="1:16" ht="14.5" x14ac:dyDescent="0.35">
      <c r="A26" s="17">
        <v>21</v>
      </c>
      <c r="B26" s="17" t="s">
        <v>65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f t="shared" si="0"/>
        <v>0</v>
      </c>
      <c r="P26" s="26" t="str">
        <f t="shared" si="1"/>
        <v>Insuf</v>
      </c>
    </row>
    <row r="27" spans="1:16" ht="14.5" x14ac:dyDescent="0.35">
      <c r="A27" s="17">
        <v>22</v>
      </c>
      <c r="B27" s="17" t="s">
        <v>66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f t="shared" si="0"/>
        <v>0</v>
      </c>
      <c r="P27" s="26" t="str">
        <f t="shared" si="1"/>
        <v>Insuf</v>
      </c>
    </row>
    <row r="28" spans="1:16" ht="14.5" x14ac:dyDescent="0.35">
      <c r="A28" s="17">
        <v>23</v>
      </c>
      <c r="B28" s="17" t="s">
        <v>67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f t="shared" si="0"/>
        <v>0</v>
      </c>
      <c r="P28" s="26" t="str">
        <f t="shared" si="1"/>
        <v>Insuf</v>
      </c>
    </row>
    <row r="29" spans="1:16" ht="14.5" x14ac:dyDescent="0.35">
      <c r="A29" s="17">
        <v>24</v>
      </c>
      <c r="B29" s="17" t="s">
        <v>68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f t="shared" si="0"/>
        <v>0</v>
      </c>
      <c r="P29" s="26" t="str">
        <f t="shared" si="1"/>
        <v>Insuf</v>
      </c>
    </row>
    <row r="30" spans="1:16" ht="14.5" x14ac:dyDescent="0.35">
      <c r="A30" s="17">
        <v>26</v>
      </c>
      <c r="B30" s="17" t="s">
        <v>91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f t="shared" si="0"/>
        <v>0</v>
      </c>
      <c r="P30" s="26" t="str">
        <f t="shared" si="1"/>
        <v>Insuf</v>
      </c>
    </row>
    <row r="31" spans="1:16" ht="14.5" x14ac:dyDescent="0.35">
      <c r="A31" s="17">
        <v>27</v>
      </c>
      <c r="B31" s="17" t="s">
        <v>70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f t="shared" si="0"/>
        <v>0</v>
      </c>
      <c r="P31" s="26" t="str">
        <f t="shared" si="1"/>
        <v>Insuf</v>
      </c>
    </row>
    <row r="32" spans="1:16" ht="14.5" x14ac:dyDescent="0.35">
      <c r="A32" s="17">
        <v>28</v>
      </c>
      <c r="B32" s="17" t="s">
        <v>71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f t="shared" si="0"/>
        <v>0</v>
      </c>
      <c r="P32" s="26" t="str">
        <f t="shared" si="1"/>
        <v>Insuf</v>
      </c>
    </row>
    <row r="33" spans="1:16" ht="14.5" x14ac:dyDescent="0.35">
      <c r="A33" s="17">
        <v>29</v>
      </c>
      <c r="B33" s="17" t="s">
        <v>72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f t="shared" si="0"/>
        <v>0</v>
      </c>
      <c r="P33" s="26" t="str">
        <f t="shared" si="1"/>
        <v>Insuf</v>
      </c>
    </row>
    <row r="34" spans="1:16" ht="14.5" x14ac:dyDescent="0.35">
      <c r="A34" s="17">
        <v>30</v>
      </c>
      <c r="B34" s="17" t="s">
        <v>73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f t="shared" si="0"/>
        <v>0</v>
      </c>
      <c r="P34" s="26" t="str">
        <f t="shared" si="1"/>
        <v>Insuf</v>
      </c>
    </row>
    <row r="35" spans="1:16" ht="14.5" x14ac:dyDescent="0.35">
      <c r="A35" s="17">
        <v>31</v>
      </c>
      <c r="B35" s="17" t="s">
        <v>74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f t="shared" si="0"/>
        <v>0</v>
      </c>
      <c r="P35" s="26" t="str">
        <f t="shared" si="1"/>
        <v>Insuf</v>
      </c>
    </row>
    <row r="36" spans="1:16" ht="14.5" x14ac:dyDescent="0.35">
      <c r="A36" s="17">
        <v>32</v>
      </c>
      <c r="B36" s="17" t="s">
        <v>75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f t="shared" si="0"/>
        <v>0</v>
      </c>
      <c r="P36" s="26" t="str">
        <f t="shared" si="1"/>
        <v>Insuf</v>
      </c>
    </row>
    <row r="37" spans="1:16" ht="14.5" x14ac:dyDescent="0.35">
      <c r="A37" s="17">
        <v>33</v>
      </c>
      <c r="B37" s="17" t="s">
        <v>76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f t="shared" si="0"/>
        <v>0</v>
      </c>
      <c r="P37" s="26" t="str">
        <f t="shared" si="1"/>
        <v>Insuf</v>
      </c>
    </row>
    <row r="38" spans="1:16" ht="14.5" x14ac:dyDescent="0.35">
      <c r="A38" s="17">
        <v>34</v>
      </c>
      <c r="B38" s="17" t="s">
        <v>77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f t="shared" si="0"/>
        <v>0</v>
      </c>
      <c r="P38" s="26" t="str">
        <f t="shared" si="1"/>
        <v>Insuf</v>
      </c>
    </row>
    <row r="39" spans="1:16" ht="14.5" x14ac:dyDescent="0.35">
      <c r="A39" s="17">
        <v>35</v>
      </c>
      <c r="B39" s="17" t="s">
        <v>78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f t="shared" si="0"/>
        <v>0</v>
      </c>
      <c r="P39" s="26" t="str">
        <f t="shared" si="1"/>
        <v>Insuf</v>
      </c>
    </row>
    <row r="40" spans="1:16" ht="14.5" x14ac:dyDescent="0.35">
      <c r="A40" s="17">
        <v>36</v>
      </c>
      <c r="B40" s="17" t="s">
        <v>79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f t="shared" si="0"/>
        <v>0</v>
      </c>
      <c r="P40" s="26" t="str">
        <f t="shared" si="1"/>
        <v>Insuf</v>
      </c>
    </row>
    <row r="41" spans="1:16" ht="15.75" customHeight="1" x14ac:dyDescent="0.35">
      <c r="A41" s="17">
        <v>37</v>
      </c>
      <c r="B41" s="17" t="s">
        <v>80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f t="shared" si="0"/>
        <v>0</v>
      </c>
      <c r="P41" s="26" t="str">
        <f t="shared" si="1"/>
        <v>Insuf</v>
      </c>
    </row>
    <row r="42" spans="1:16" ht="15.75" customHeight="1" x14ac:dyDescent="0.35">
      <c r="A42" s="17">
        <v>38</v>
      </c>
      <c r="B42" s="17" t="s">
        <v>81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f t="shared" si="0"/>
        <v>0</v>
      </c>
      <c r="P42" s="26" t="str">
        <f t="shared" si="1"/>
        <v>Insuf</v>
      </c>
    </row>
    <row r="43" spans="1:16" ht="15.75" customHeigh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26"/>
    </row>
    <row r="44" spans="1:16" ht="15.75" customHeight="1" x14ac:dyDescent="0.35"/>
    <row r="45" spans="1:16" ht="15.75" customHeight="1" x14ac:dyDescent="0.35">
      <c r="C45" s="32" t="e">
        <f t="shared" ref="C45:N45" si="2">SUM(C5:C43)/(COUNT(C5:C43)*C3)</f>
        <v>#DIV/0!</v>
      </c>
      <c r="D45" s="32" t="e">
        <f t="shared" si="2"/>
        <v>#DIV/0!</v>
      </c>
      <c r="E45" s="32" t="e">
        <f t="shared" si="2"/>
        <v>#DIV/0!</v>
      </c>
      <c r="F45" s="32" t="e">
        <f t="shared" si="2"/>
        <v>#DIV/0!</v>
      </c>
      <c r="G45" s="32" t="e">
        <f t="shared" si="2"/>
        <v>#DIV/0!</v>
      </c>
      <c r="H45" s="32" t="e">
        <f t="shared" si="2"/>
        <v>#DIV/0!</v>
      </c>
      <c r="I45" s="32" t="e">
        <f t="shared" si="2"/>
        <v>#DIV/0!</v>
      </c>
      <c r="J45" s="32" t="e">
        <f t="shared" si="2"/>
        <v>#DIV/0!</v>
      </c>
      <c r="K45" s="32" t="e">
        <f t="shared" si="2"/>
        <v>#DIV/0!</v>
      </c>
      <c r="L45" s="32" t="e">
        <f t="shared" si="2"/>
        <v>#DIV/0!</v>
      </c>
      <c r="M45" s="32" t="e">
        <f t="shared" si="2"/>
        <v>#DIV/0!</v>
      </c>
      <c r="N45" s="32" t="e">
        <f t="shared" si="2"/>
        <v>#DIV/0!</v>
      </c>
    </row>
    <row r="46" spans="1:16" ht="15.75" customHeight="1" x14ac:dyDescent="0.35"/>
    <row r="47" spans="1:16" ht="15.75" customHeight="1" x14ac:dyDescent="0.35"/>
    <row r="48" spans="1:1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</sheetData>
  <conditionalFormatting sqref="O5:O43">
    <cfRule type="cellIs" dxfId="6" priority="1" operator="lessThan">
      <formula>10</formula>
    </cfRule>
  </conditionalFormatting>
  <conditionalFormatting sqref="P5:P43">
    <cfRule type="cellIs" dxfId="5" priority="2" operator="equal">
      <formula>"Insuf"</formula>
    </cfRule>
  </conditionalFormatting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pane ySplit="4" topLeftCell="A16" activePane="bottomLeft" state="frozen"/>
      <selection pane="bottomLeft" activeCell="M25" sqref="M25:P25"/>
    </sheetView>
  </sheetViews>
  <sheetFormatPr defaultColWidth="14.453125" defaultRowHeight="15" customHeight="1" x14ac:dyDescent="0.35"/>
  <cols>
    <col min="1" max="1" width="8.08984375" customWidth="1"/>
    <col min="2" max="2" width="21.26953125" customWidth="1"/>
    <col min="3" max="16" width="7" customWidth="1"/>
    <col min="17" max="17" width="7.08984375" customWidth="1"/>
    <col min="18" max="18" width="10.453125" customWidth="1"/>
    <col min="19" max="19" width="7.453125" customWidth="1"/>
    <col min="20" max="20" width="12.453125" customWidth="1"/>
    <col min="21" max="23" width="8.7265625" customWidth="1"/>
  </cols>
  <sheetData>
    <row r="1" spans="1:20" ht="14.5" x14ac:dyDescent="0.35">
      <c r="A1" s="1" t="s">
        <v>0</v>
      </c>
    </row>
    <row r="2" spans="1:20" ht="14.5" x14ac:dyDescent="0.35">
      <c r="A2" s="1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S2" s="1">
        <v>31</v>
      </c>
      <c r="T2" s="1" t="s">
        <v>86</v>
      </c>
    </row>
    <row r="3" spans="1:20" ht="14.5" x14ac:dyDescent="0.35">
      <c r="A3" s="22" t="s">
        <v>18</v>
      </c>
      <c r="B3" s="27" t="s">
        <v>46</v>
      </c>
      <c r="C3" s="28">
        <v>10</v>
      </c>
      <c r="D3" s="28">
        <v>25</v>
      </c>
      <c r="E3" s="28">
        <v>15</v>
      </c>
      <c r="F3" s="28">
        <v>15</v>
      </c>
      <c r="G3" s="28">
        <v>15</v>
      </c>
      <c r="H3" s="28">
        <v>10</v>
      </c>
      <c r="I3" s="28">
        <v>15</v>
      </c>
      <c r="J3" s="28">
        <v>15</v>
      </c>
      <c r="K3" s="28">
        <v>15</v>
      </c>
      <c r="L3" s="28">
        <v>15</v>
      </c>
      <c r="M3" s="28">
        <v>10</v>
      </c>
      <c r="N3" s="28">
        <v>15</v>
      </c>
      <c r="O3" s="28">
        <v>10</v>
      </c>
      <c r="P3" s="28">
        <v>15</v>
      </c>
      <c r="Q3" s="29">
        <f>SUM(C3:P3)</f>
        <v>200</v>
      </c>
    </row>
    <row r="4" spans="1:20" ht="14.5" x14ac:dyDescent="0.35">
      <c r="A4" s="27" t="s">
        <v>7</v>
      </c>
      <c r="B4" s="27" t="s">
        <v>8</v>
      </c>
      <c r="C4" s="34">
        <v>45658</v>
      </c>
      <c r="D4" s="34">
        <v>45659</v>
      </c>
      <c r="E4" s="34">
        <v>45660</v>
      </c>
      <c r="F4" s="27" t="s">
        <v>87</v>
      </c>
      <c r="G4" s="27" t="s">
        <v>88</v>
      </c>
      <c r="H4" s="34">
        <v>46113</v>
      </c>
      <c r="I4" s="34">
        <v>46114</v>
      </c>
      <c r="J4" s="34">
        <v>46143</v>
      </c>
      <c r="K4" s="34">
        <v>46144</v>
      </c>
      <c r="L4" s="34">
        <v>46145</v>
      </c>
      <c r="M4" s="34">
        <v>46146</v>
      </c>
      <c r="N4" s="34">
        <v>46174</v>
      </c>
      <c r="O4" s="34">
        <v>46175</v>
      </c>
      <c r="P4" s="27" t="s">
        <v>93</v>
      </c>
      <c r="Q4" s="27" t="s">
        <v>53</v>
      </c>
      <c r="R4" s="17" t="s">
        <v>54</v>
      </c>
    </row>
    <row r="5" spans="1:20" ht="14.5" x14ac:dyDescent="0.35">
      <c r="A5" s="17">
        <v>1</v>
      </c>
      <c r="B5" s="17" t="s">
        <v>19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>
        <f t="shared" ref="Q5:Q22" si="0">SUM(C5:P5)/10</f>
        <v>0</v>
      </c>
      <c r="R5" s="26"/>
      <c r="S5" s="31" t="s">
        <v>90</v>
      </c>
    </row>
    <row r="6" spans="1:20" ht="14.5" x14ac:dyDescent="0.35">
      <c r="A6" s="17"/>
      <c r="B6" s="17" t="s">
        <v>24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>
        <f t="shared" si="0"/>
        <v>0</v>
      </c>
      <c r="R6" s="26" t="str">
        <f t="shared" ref="R6:R13" si="1">IF(Q6&gt;=18,"M. Bom",IF(Q6&gt;=14,"Bom",IF(Q6&gt;=10,"Suf.","Insuf")))</f>
        <v>Insuf</v>
      </c>
      <c r="S6" s="1" t="s">
        <v>89</v>
      </c>
    </row>
    <row r="7" spans="1:20" ht="14.5" x14ac:dyDescent="0.35">
      <c r="A7" s="17">
        <v>13</v>
      </c>
      <c r="B7" s="17" t="s">
        <v>47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>
        <f t="shared" si="0"/>
        <v>0</v>
      </c>
      <c r="R7" s="26" t="str">
        <f t="shared" si="1"/>
        <v>Insuf</v>
      </c>
    </row>
    <row r="8" spans="1:20" ht="14.5" x14ac:dyDescent="0.35">
      <c r="A8" s="17">
        <v>14</v>
      </c>
      <c r="B8" s="17" t="s">
        <v>48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>
        <f t="shared" si="0"/>
        <v>0</v>
      </c>
      <c r="R8" s="26" t="str">
        <f t="shared" si="1"/>
        <v>Insuf</v>
      </c>
      <c r="S8" s="1"/>
    </row>
    <row r="9" spans="1:20" ht="14.5" x14ac:dyDescent="0.35">
      <c r="A9" s="17">
        <v>16</v>
      </c>
      <c r="B9" s="17" t="s">
        <v>60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>
        <f t="shared" si="0"/>
        <v>0</v>
      </c>
      <c r="R9" s="26" t="str">
        <f t="shared" si="1"/>
        <v>Insuf</v>
      </c>
      <c r="S9" s="1"/>
    </row>
    <row r="10" spans="1:20" ht="14.5" x14ac:dyDescent="0.35">
      <c r="A10" s="17">
        <v>18</v>
      </c>
      <c r="B10" s="17" t="s">
        <v>62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>
        <f t="shared" si="0"/>
        <v>0</v>
      </c>
      <c r="R10" s="26" t="str">
        <f t="shared" si="1"/>
        <v>Insuf</v>
      </c>
    </row>
    <row r="11" spans="1:20" ht="14.5" x14ac:dyDescent="0.35">
      <c r="A11" s="17">
        <v>19</v>
      </c>
      <c r="B11" s="17" t="s">
        <v>63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>
        <f t="shared" si="0"/>
        <v>0</v>
      </c>
      <c r="R11" s="26" t="str">
        <f t="shared" si="1"/>
        <v>Insuf</v>
      </c>
    </row>
    <row r="12" spans="1:20" ht="14.5" x14ac:dyDescent="0.35">
      <c r="A12" s="17">
        <v>20</v>
      </c>
      <c r="B12" s="17" t="s">
        <v>64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>
        <f t="shared" si="0"/>
        <v>0</v>
      </c>
      <c r="R12" s="26" t="str">
        <f t="shared" si="1"/>
        <v>Insuf</v>
      </c>
    </row>
    <row r="13" spans="1:20" ht="14.5" x14ac:dyDescent="0.35">
      <c r="A13" s="17">
        <v>22</v>
      </c>
      <c r="B13" s="17" t="s">
        <v>66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>
        <f t="shared" si="0"/>
        <v>0</v>
      </c>
      <c r="R13" s="26" t="str">
        <f t="shared" si="1"/>
        <v>Insuf</v>
      </c>
      <c r="S13" s="1"/>
    </row>
    <row r="14" spans="1:20" ht="14.5" x14ac:dyDescent="0.35">
      <c r="A14" s="17">
        <v>23</v>
      </c>
      <c r="B14" s="17" t="s">
        <v>67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>
        <f t="shared" si="0"/>
        <v>0</v>
      </c>
      <c r="R14" s="26"/>
      <c r="S14" s="1" t="s">
        <v>90</v>
      </c>
    </row>
    <row r="15" spans="1:20" ht="14.5" x14ac:dyDescent="0.35">
      <c r="A15" s="17">
        <v>26</v>
      </c>
      <c r="B15" s="17" t="s">
        <v>91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>
        <f t="shared" si="0"/>
        <v>0</v>
      </c>
      <c r="R15" s="26"/>
      <c r="S15" s="31" t="s">
        <v>90</v>
      </c>
    </row>
    <row r="16" spans="1:20" ht="14.5" x14ac:dyDescent="0.35">
      <c r="A16" s="17">
        <v>29</v>
      </c>
      <c r="B16" s="17" t="s">
        <v>72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>
        <f t="shared" si="0"/>
        <v>0</v>
      </c>
      <c r="R16" s="26" t="str">
        <f t="shared" ref="R16:R21" si="2">IF(Q16&gt;=18,"M. Bom",IF(Q16&gt;=14,"Bom",IF(Q16&gt;=10,"Suf.","Insuf")))</f>
        <v>Insuf</v>
      </c>
    </row>
    <row r="17" spans="1:19" ht="14.5" x14ac:dyDescent="0.35">
      <c r="A17" s="17">
        <v>31</v>
      </c>
      <c r="B17" s="17" t="s">
        <v>74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>
        <f t="shared" si="0"/>
        <v>0</v>
      </c>
      <c r="R17" s="26" t="str">
        <f t="shared" si="2"/>
        <v>Insuf</v>
      </c>
    </row>
    <row r="18" spans="1:19" ht="14.5" x14ac:dyDescent="0.35">
      <c r="A18" s="17">
        <v>32</v>
      </c>
      <c r="B18" s="17" t="s">
        <v>75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>
        <f t="shared" si="0"/>
        <v>0</v>
      </c>
      <c r="R18" s="26" t="str">
        <f t="shared" si="2"/>
        <v>Insuf</v>
      </c>
    </row>
    <row r="19" spans="1:19" ht="14.5" x14ac:dyDescent="0.35">
      <c r="A19" s="17">
        <v>34</v>
      </c>
      <c r="B19" s="17" t="s">
        <v>77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>
        <f t="shared" si="0"/>
        <v>0</v>
      </c>
      <c r="R19" s="26" t="str">
        <f t="shared" si="2"/>
        <v>Insuf</v>
      </c>
    </row>
    <row r="20" spans="1:19" ht="14.5" x14ac:dyDescent="0.35">
      <c r="A20" s="17">
        <v>36</v>
      </c>
      <c r="B20" s="17" t="s">
        <v>79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>
        <f t="shared" si="0"/>
        <v>0</v>
      </c>
      <c r="R20" s="26" t="str">
        <f t="shared" si="2"/>
        <v>Insuf</v>
      </c>
    </row>
    <row r="21" spans="1:19" ht="15.75" customHeight="1" x14ac:dyDescent="0.35">
      <c r="A21" s="17">
        <v>37</v>
      </c>
      <c r="B21" s="17" t="s">
        <v>80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>
        <f t="shared" si="0"/>
        <v>0</v>
      </c>
      <c r="R21" s="26" t="str">
        <f t="shared" si="2"/>
        <v>Insuf</v>
      </c>
      <c r="S21" s="1" t="s">
        <v>89</v>
      </c>
    </row>
    <row r="22" spans="1:19" ht="15.75" customHeight="1" x14ac:dyDescent="0.35">
      <c r="A22" s="17">
        <v>38</v>
      </c>
      <c r="B22" s="17" t="s">
        <v>81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>
        <f t="shared" si="0"/>
        <v>0</v>
      </c>
      <c r="R22" s="26"/>
      <c r="S22" s="31" t="s">
        <v>90</v>
      </c>
    </row>
    <row r="23" spans="1:19" ht="15.75" customHeight="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26"/>
    </row>
    <row r="24" spans="1:19" ht="15.75" customHeight="1" x14ac:dyDescent="0.35"/>
    <row r="25" spans="1:19" ht="15.75" customHeight="1" x14ac:dyDescent="0.35">
      <c r="C25" s="32" t="e">
        <f t="shared" ref="C25:P25" si="3">SUM(C5:C23)/(COUNT(C5:C23)*C3)</f>
        <v>#DIV/0!</v>
      </c>
      <c r="D25" s="32" t="e">
        <f t="shared" si="3"/>
        <v>#DIV/0!</v>
      </c>
      <c r="E25" s="32" t="e">
        <f t="shared" si="3"/>
        <v>#DIV/0!</v>
      </c>
      <c r="F25" s="32" t="e">
        <f t="shared" si="3"/>
        <v>#DIV/0!</v>
      </c>
      <c r="G25" s="32" t="e">
        <f t="shared" si="3"/>
        <v>#DIV/0!</v>
      </c>
      <c r="H25" s="32" t="e">
        <f t="shared" si="3"/>
        <v>#DIV/0!</v>
      </c>
      <c r="I25" s="32" t="e">
        <f t="shared" si="3"/>
        <v>#DIV/0!</v>
      </c>
      <c r="J25" s="32" t="e">
        <f t="shared" si="3"/>
        <v>#DIV/0!</v>
      </c>
      <c r="K25" s="32" t="e">
        <f t="shared" si="3"/>
        <v>#DIV/0!</v>
      </c>
      <c r="L25" s="32" t="e">
        <f t="shared" si="3"/>
        <v>#DIV/0!</v>
      </c>
      <c r="M25" s="32" t="e">
        <f t="shared" si="3"/>
        <v>#DIV/0!</v>
      </c>
      <c r="N25" s="32" t="e">
        <f t="shared" si="3"/>
        <v>#DIV/0!</v>
      </c>
      <c r="O25" s="32" t="e">
        <f t="shared" si="3"/>
        <v>#DIV/0!</v>
      </c>
      <c r="P25" s="32" t="e">
        <f t="shared" si="3"/>
        <v>#DIV/0!</v>
      </c>
    </row>
    <row r="26" spans="1:19" ht="15.75" customHeight="1" x14ac:dyDescent="0.35"/>
    <row r="27" spans="1:19" ht="15.75" customHeight="1" x14ac:dyDescent="0.35"/>
    <row r="28" spans="1:19" ht="15.75" customHeight="1" x14ac:dyDescent="0.35"/>
    <row r="29" spans="1:19" ht="15.75" customHeight="1" x14ac:dyDescent="0.35"/>
    <row r="30" spans="1:19" ht="15.75" customHeight="1" x14ac:dyDescent="0.35"/>
    <row r="31" spans="1:19" ht="15.75" customHeight="1" x14ac:dyDescent="0.35"/>
    <row r="32" spans="1:1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conditionalFormatting sqref="Q5:Q23">
    <cfRule type="cellIs" dxfId="4" priority="1" operator="lessThan">
      <formula>10</formula>
    </cfRule>
  </conditionalFormatting>
  <conditionalFormatting sqref="R5:R23">
    <cfRule type="cellIs" dxfId="3" priority="2" operator="equal">
      <formula>"Insuf"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I1001"/>
  <sheetViews>
    <sheetView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AE45" sqref="C7:AE45"/>
    </sheetView>
  </sheetViews>
  <sheetFormatPr defaultColWidth="14.453125" defaultRowHeight="15" customHeight="1" x14ac:dyDescent="0.35"/>
  <cols>
    <col min="1" max="1" width="6.7265625" customWidth="1"/>
    <col min="2" max="2" width="21.26953125" customWidth="1"/>
    <col min="3" max="31" width="2.81640625" customWidth="1"/>
    <col min="32" max="32" width="6.26953125" customWidth="1"/>
    <col min="33" max="35" width="7.453125" customWidth="1"/>
  </cols>
  <sheetData>
    <row r="3" spans="1:35" ht="14.5" x14ac:dyDescent="0.35">
      <c r="A3" s="1" t="s">
        <v>0</v>
      </c>
    </row>
    <row r="4" spans="1:35" ht="14.5" x14ac:dyDescent="0.35">
      <c r="A4" s="1"/>
      <c r="C4" s="49" t="s">
        <v>92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5" ht="14.5" x14ac:dyDescent="0.35">
      <c r="A5" s="1"/>
      <c r="C5" s="48">
        <v>1</v>
      </c>
      <c r="D5" s="44"/>
      <c r="E5" s="48">
        <v>2</v>
      </c>
      <c r="F5" s="44"/>
      <c r="G5" s="48">
        <v>3</v>
      </c>
      <c r="H5" s="44"/>
      <c r="I5" s="48">
        <v>4</v>
      </c>
      <c r="J5" s="44"/>
      <c r="K5" s="27">
        <v>5</v>
      </c>
      <c r="L5" s="50">
        <v>6</v>
      </c>
      <c r="M5" s="44"/>
      <c r="N5" s="48">
        <v>7</v>
      </c>
      <c r="O5" s="44"/>
      <c r="P5" s="48">
        <v>8</v>
      </c>
      <c r="Q5" s="44"/>
      <c r="R5" s="48">
        <v>9</v>
      </c>
      <c r="S5" s="44"/>
      <c r="T5" s="48">
        <v>10</v>
      </c>
      <c r="U5" s="44"/>
      <c r="V5" s="50">
        <v>11</v>
      </c>
      <c r="W5" s="44"/>
      <c r="X5" s="48">
        <v>12</v>
      </c>
      <c r="Y5" s="44"/>
      <c r="Z5" s="48">
        <v>13</v>
      </c>
      <c r="AA5" s="44"/>
      <c r="AB5" s="48">
        <v>14</v>
      </c>
      <c r="AC5" s="44"/>
      <c r="AD5" s="48">
        <v>15</v>
      </c>
      <c r="AE5" s="44"/>
    </row>
    <row r="6" spans="1:35" ht="62.25" customHeight="1" x14ac:dyDescent="0.35">
      <c r="A6" s="27" t="s">
        <v>7</v>
      </c>
      <c r="B6" s="27" t="s">
        <v>8</v>
      </c>
      <c r="C6" s="35">
        <v>45923</v>
      </c>
      <c r="D6" s="35">
        <v>45925</v>
      </c>
      <c r="E6" s="35">
        <v>45930</v>
      </c>
      <c r="F6" s="35">
        <v>45932</v>
      </c>
      <c r="G6" s="35">
        <v>45937</v>
      </c>
      <c r="H6" s="35">
        <v>45939</v>
      </c>
      <c r="I6" s="35">
        <v>45944</v>
      </c>
      <c r="J6" s="35">
        <v>45946</v>
      </c>
      <c r="K6" s="35">
        <v>45951</v>
      </c>
      <c r="L6" s="35">
        <v>45958</v>
      </c>
      <c r="M6" s="35">
        <v>45960</v>
      </c>
      <c r="N6" s="35">
        <v>45965</v>
      </c>
      <c r="O6" s="35">
        <v>45967</v>
      </c>
      <c r="P6" s="35">
        <v>45972</v>
      </c>
      <c r="Q6" s="35">
        <v>45974</v>
      </c>
      <c r="R6" s="35">
        <v>45979</v>
      </c>
      <c r="S6" s="35">
        <v>45981</v>
      </c>
      <c r="T6" s="35">
        <v>45986</v>
      </c>
      <c r="U6" s="35">
        <v>45988</v>
      </c>
      <c r="V6" s="35">
        <v>45993</v>
      </c>
      <c r="W6" s="35">
        <v>45995</v>
      </c>
      <c r="X6" s="35">
        <v>46000</v>
      </c>
      <c r="Y6" s="35">
        <v>46002</v>
      </c>
      <c r="Z6" s="35">
        <v>46007</v>
      </c>
      <c r="AA6" s="35">
        <v>46009</v>
      </c>
      <c r="AB6" s="35">
        <v>46028</v>
      </c>
      <c r="AC6" s="35">
        <v>46030</v>
      </c>
      <c r="AD6" s="35">
        <v>46035</v>
      </c>
      <c r="AE6" s="35">
        <v>46037</v>
      </c>
      <c r="AF6" s="27" t="s">
        <v>53</v>
      </c>
      <c r="AH6" s="31" t="s">
        <v>94</v>
      </c>
    </row>
    <row r="7" spans="1:35" ht="14.5" x14ac:dyDescent="0.35">
      <c r="A7" s="17">
        <v>1</v>
      </c>
      <c r="B7" s="17" t="s">
        <v>19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>
        <f t="shared" ref="AF7:AF31" si="0">SUM(C7:AE7)</f>
        <v>0</v>
      </c>
      <c r="AG7" s="5">
        <f t="shared" ref="AG7:AG44" si="1">AF7/21</f>
        <v>0</v>
      </c>
      <c r="AH7" s="36">
        <f t="shared" ref="AH7:AH44" si="2">AF7*20/20</f>
        <v>0</v>
      </c>
      <c r="AI7" s="37"/>
    </row>
    <row r="8" spans="1:35" ht="14.5" x14ac:dyDescent="0.35">
      <c r="A8" s="17">
        <v>2</v>
      </c>
      <c r="B8" s="17" t="s">
        <v>20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>
        <f t="shared" si="0"/>
        <v>0</v>
      </c>
      <c r="AG8" s="5">
        <f t="shared" si="1"/>
        <v>0</v>
      </c>
      <c r="AH8" s="36">
        <f t="shared" si="2"/>
        <v>0</v>
      </c>
      <c r="AI8" s="37"/>
    </row>
    <row r="9" spans="1:35" ht="14.5" x14ac:dyDescent="0.35">
      <c r="A9" s="17">
        <v>3</v>
      </c>
      <c r="B9" s="17" t="s">
        <v>21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>
        <f t="shared" si="0"/>
        <v>0</v>
      </c>
      <c r="AG9" s="5">
        <f t="shared" si="1"/>
        <v>0</v>
      </c>
      <c r="AH9" s="36">
        <f t="shared" si="2"/>
        <v>0</v>
      </c>
      <c r="AI9" s="37"/>
    </row>
    <row r="10" spans="1:35" ht="14.5" x14ac:dyDescent="0.35">
      <c r="A10" s="17">
        <v>4</v>
      </c>
      <c r="B10" s="17" t="s">
        <v>22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>
        <f t="shared" si="0"/>
        <v>0</v>
      </c>
      <c r="AG10" s="5">
        <f t="shared" si="1"/>
        <v>0</v>
      </c>
      <c r="AH10" s="36">
        <f t="shared" si="2"/>
        <v>0</v>
      </c>
      <c r="AI10" s="37"/>
    </row>
    <row r="11" spans="1:35" ht="14.5" x14ac:dyDescent="0.35">
      <c r="A11" s="17">
        <v>5</v>
      </c>
      <c r="B11" s="17" t="s">
        <v>23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>
        <f t="shared" si="0"/>
        <v>0</v>
      </c>
      <c r="AG11" s="5">
        <f t="shared" si="1"/>
        <v>0</v>
      </c>
      <c r="AH11" s="36">
        <f t="shared" si="2"/>
        <v>0</v>
      </c>
      <c r="AI11" s="37"/>
    </row>
    <row r="12" spans="1:35" ht="14.5" x14ac:dyDescent="0.35">
      <c r="A12" s="17">
        <v>6</v>
      </c>
      <c r="B12" s="17" t="s">
        <v>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>
        <f t="shared" si="0"/>
        <v>0</v>
      </c>
      <c r="AG12" s="5">
        <f t="shared" si="1"/>
        <v>0</v>
      </c>
      <c r="AH12" s="36">
        <f t="shared" si="2"/>
        <v>0</v>
      </c>
      <c r="AI12" s="37"/>
    </row>
    <row r="13" spans="1:35" ht="14.5" x14ac:dyDescent="0.35">
      <c r="A13" s="17">
        <v>7</v>
      </c>
      <c r="B13" s="17" t="s">
        <v>25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>
        <f t="shared" si="0"/>
        <v>0</v>
      </c>
      <c r="AG13" s="5">
        <f t="shared" si="1"/>
        <v>0</v>
      </c>
      <c r="AH13" s="36">
        <f t="shared" si="2"/>
        <v>0</v>
      </c>
      <c r="AI13" s="37"/>
    </row>
    <row r="14" spans="1:35" ht="14.5" x14ac:dyDescent="0.35">
      <c r="A14" s="17">
        <v>8</v>
      </c>
      <c r="B14" s="17" t="s">
        <v>26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>
        <f t="shared" si="0"/>
        <v>0</v>
      </c>
      <c r="AG14" s="5">
        <f t="shared" si="1"/>
        <v>0</v>
      </c>
      <c r="AH14" s="36">
        <f t="shared" si="2"/>
        <v>0</v>
      </c>
      <c r="AI14" s="37"/>
    </row>
    <row r="15" spans="1:35" ht="14.5" x14ac:dyDescent="0.35">
      <c r="A15" s="17">
        <v>9</v>
      </c>
      <c r="B15" s="17" t="s">
        <v>27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>
        <f t="shared" si="0"/>
        <v>0</v>
      </c>
      <c r="AG15" s="5">
        <f t="shared" si="1"/>
        <v>0</v>
      </c>
      <c r="AH15" s="36">
        <f t="shared" si="2"/>
        <v>0</v>
      </c>
      <c r="AI15" s="37"/>
    </row>
    <row r="16" spans="1:35" ht="14.5" x14ac:dyDescent="0.35">
      <c r="A16" s="17">
        <v>10</v>
      </c>
      <c r="B16" s="17" t="s">
        <v>28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>
        <f t="shared" si="0"/>
        <v>0</v>
      </c>
      <c r="AG16" s="5">
        <f t="shared" si="1"/>
        <v>0</v>
      </c>
      <c r="AH16" s="36">
        <f t="shared" si="2"/>
        <v>0</v>
      </c>
      <c r="AI16" s="37"/>
    </row>
    <row r="17" spans="1:35" ht="14.5" x14ac:dyDescent="0.35">
      <c r="A17" s="17">
        <v>11</v>
      </c>
      <c r="B17" s="17" t="s">
        <v>29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>
        <f t="shared" si="0"/>
        <v>0</v>
      </c>
      <c r="AG17" s="5">
        <f t="shared" si="1"/>
        <v>0</v>
      </c>
      <c r="AH17" s="36">
        <f t="shared" si="2"/>
        <v>0</v>
      </c>
      <c r="AI17" s="37"/>
    </row>
    <row r="18" spans="1:35" ht="14.5" x14ac:dyDescent="0.35">
      <c r="A18" s="17">
        <v>12</v>
      </c>
      <c r="B18" s="17" t="s">
        <v>31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>
        <f t="shared" si="0"/>
        <v>0</v>
      </c>
      <c r="AG18" s="5">
        <f t="shared" si="1"/>
        <v>0</v>
      </c>
      <c r="AH18" s="36">
        <f t="shared" si="2"/>
        <v>0</v>
      </c>
      <c r="AI18" s="37"/>
    </row>
    <row r="19" spans="1:35" ht="14.5" x14ac:dyDescent="0.35">
      <c r="A19" s="17">
        <v>13</v>
      </c>
      <c r="B19" s="17" t="s">
        <v>36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>
        <f t="shared" si="0"/>
        <v>0</v>
      </c>
      <c r="AG19" s="5">
        <f t="shared" si="1"/>
        <v>0</v>
      </c>
      <c r="AH19" s="36">
        <f t="shared" si="2"/>
        <v>0</v>
      </c>
      <c r="AI19" s="37"/>
    </row>
    <row r="20" spans="1:35" ht="14.5" x14ac:dyDescent="0.35">
      <c r="A20" s="17">
        <v>14</v>
      </c>
      <c r="B20" s="17" t="s">
        <v>47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>
        <f t="shared" si="0"/>
        <v>0</v>
      </c>
      <c r="AG20" s="5">
        <f t="shared" si="1"/>
        <v>0</v>
      </c>
      <c r="AH20" s="36">
        <f t="shared" si="2"/>
        <v>0</v>
      </c>
      <c r="AI20" s="37"/>
    </row>
    <row r="21" spans="1:35" ht="14.5" x14ac:dyDescent="0.35">
      <c r="A21" s="17">
        <v>15</v>
      </c>
      <c r="B21" s="17" t="s">
        <v>48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>
        <f t="shared" si="0"/>
        <v>0</v>
      </c>
      <c r="AG21" s="5">
        <f t="shared" si="1"/>
        <v>0</v>
      </c>
      <c r="AH21" s="36">
        <f t="shared" si="2"/>
        <v>0</v>
      </c>
      <c r="AI21" s="37"/>
    </row>
    <row r="22" spans="1:35" ht="15.75" customHeight="1" x14ac:dyDescent="0.35">
      <c r="A22" s="17">
        <v>16</v>
      </c>
      <c r="B22" s="17" t="s">
        <v>59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>
        <f t="shared" si="0"/>
        <v>0</v>
      </c>
      <c r="AG22" s="5">
        <f t="shared" si="1"/>
        <v>0</v>
      </c>
      <c r="AH22" s="36">
        <f t="shared" si="2"/>
        <v>0</v>
      </c>
      <c r="AI22" s="37"/>
    </row>
    <row r="23" spans="1:35" ht="15.75" customHeight="1" x14ac:dyDescent="0.35">
      <c r="A23" s="17">
        <v>17</v>
      </c>
      <c r="B23" s="17" t="s">
        <v>60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>
        <f t="shared" si="0"/>
        <v>0</v>
      </c>
      <c r="AG23" s="5">
        <f t="shared" si="1"/>
        <v>0</v>
      </c>
      <c r="AH23" s="36">
        <f t="shared" si="2"/>
        <v>0</v>
      </c>
      <c r="AI23" s="37"/>
    </row>
    <row r="24" spans="1:35" ht="15.75" customHeight="1" x14ac:dyDescent="0.35">
      <c r="A24" s="17">
        <v>18</v>
      </c>
      <c r="B24" s="17" t="s">
        <v>61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>
        <f t="shared" si="0"/>
        <v>0</v>
      </c>
      <c r="AG24" s="5">
        <f t="shared" si="1"/>
        <v>0</v>
      </c>
      <c r="AH24" s="36">
        <f t="shared" si="2"/>
        <v>0</v>
      </c>
      <c r="AI24" s="37"/>
    </row>
    <row r="25" spans="1:35" ht="15.75" customHeight="1" x14ac:dyDescent="0.35">
      <c r="A25" s="17">
        <v>19</v>
      </c>
      <c r="B25" s="17" t="s">
        <v>62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>
        <f t="shared" si="0"/>
        <v>0</v>
      </c>
      <c r="AG25" s="5">
        <f t="shared" si="1"/>
        <v>0</v>
      </c>
      <c r="AH25" s="36">
        <f t="shared" si="2"/>
        <v>0</v>
      </c>
      <c r="AI25" s="37"/>
    </row>
    <row r="26" spans="1:35" ht="15.75" customHeight="1" x14ac:dyDescent="0.35">
      <c r="A26" s="17">
        <v>20</v>
      </c>
      <c r="B26" s="17" t="s">
        <v>63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>
        <f t="shared" si="0"/>
        <v>0</v>
      </c>
      <c r="AG26" s="5">
        <f t="shared" si="1"/>
        <v>0</v>
      </c>
      <c r="AH26" s="36">
        <f t="shared" si="2"/>
        <v>0</v>
      </c>
      <c r="AI26" s="37"/>
    </row>
    <row r="27" spans="1:35" ht="15.75" customHeight="1" x14ac:dyDescent="0.35">
      <c r="A27" s="17">
        <v>21</v>
      </c>
      <c r="B27" s="17" t="s">
        <v>64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>
        <f t="shared" si="0"/>
        <v>0</v>
      </c>
      <c r="AG27" s="5">
        <f t="shared" si="1"/>
        <v>0</v>
      </c>
      <c r="AH27" s="36">
        <f t="shared" si="2"/>
        <v>0</v>
      </c>
      <c r="AI27" s="37"/>
    </row>
    <row r="28" spans="1:35" ht="15.75" customHeight="1" x14ac:dyDescent="0.35">
      <c r="A28" s="17">
        <v>22</v>
      </c>
      <c r="B28" s="17" t="s">
        <v>65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>
        <f t="shared" si="0"/>
        <v>0</v>
      </c>
      <c r="AG28" s="5">
        <f t="shared" si="1"/>
        <v>0</v>
      </c>
      <c r="AH28" s="36">
        <f t="shared" si="2"/>
        <v>0</v>
      </c>
      <c r="AI28" s="37"/>
    </row>
    <row r="29" spans="1:35" ht="15.75" customHeight="1" x14ac:dyDescent="0.35">
      <c r="A29" s="17">
        <v>23</v>
      </c>
      <c r="B29" s="17" t="s">
        <v>66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>
        <f t="shared" si="0"/>
        <v>0</v>
      </c>
      <c r="AG29" s="5">
        <f t="shared" si="1"/>
        <v>0</v>
      </c>
      <c r="AH29" s="36">
        <f t="shared" si="2"/>
        <v>0</v>
      </c>
      <c r="AI29" s="37"/>
    </row>
    <row r="30" spans="1:35" ht="15.75" customHeight="1" x14ac:dyDescent="0.35">
      <c r="A30" s="17">
        <v>24</v>
      </c>
      <c r="B30" s="17" t="s">
        <v>67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>
        <f t="shared" si="0"/>
        <v>0</v>
      </c>
      <c r="AG30" s="5">
        <f t="shared" si="1"/>
        <v>0</v>
      </c>
      <c r="AH30" s="36">
        <f t="shared" si="2"/>
        <v>0</v>
      </c>
      <c r="AI30" s="37"/>
    </row>
    <row r="31" spans="1:35" ht="15.75" customHeight="1" x14ac:dyDescent="0.35">
      <c r="A31" s="17">
        <v>25</v>
      </c>
      <c r="B31" s="17" t="s">
        <v>68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>
        <f t="shared" si="0"/>
        <v>0</v>
      </c>
      <c r="AG31" s="5">
        <f t="shared" si="1"/>
        <v>0</v>
      </c>
      <c r="AH31" s="36">
        <f t="shared" si="2"/>
        <v>0</v>
      </c>
      <c r="AI31" s="37"/>
    </row>
    <row r="32" spans="1:35" ht="15.75" customHeight="1" x14ac:dyDescent="0.35">
      <c r="A32" s="17">
        <v>26</v>
      </c>
      <c r="B32" s="17" t="s">
        <v>91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5">
        <f t="shared" si="1"/>
        <v>0</v>
      </c>
      <c r="AH32" s="36">
        <f t="shared" si="2"/>
        <v>0</v>
      </c>
      <c r="AI32" s="37"/>
    </row>
    <row r="33" spans="1:35" ht="15.75" customHeight="1" x14ac:dyDescent="0.35">
      <c r="A33" s="17">
        <v>27</v>
      </c>
      <c r="B33" s="17" t="s">
        <v>70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>
        <f t="shared" ref="AF33:AF45" si="3">SUM(C33:AE33)</f>
        <v>0</v>
      </c>
      <c r="AG33" s="5">
        <f t="shared" si="1"/>
        <v>0</v>
      </c>
      <c r="AH33" s="36">
        <f t="shared" si="2"/>
        <v>0</v>
      </c>
      <c r="AI33" s="37"/>
    </row>
    <row r="34" spans="1:35" ht="15.75" customHeight="1" x14ac:dyDescent="0.35">
      <c r="A34" s="17">
        <v>28</v>
      </c>
      <c r="B34" s="17" t="s">
        <v>71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>
        <f t="shared" si="3"/>
        <v>0</v>
      </c>
      <c r="AG34" s="5">
        <f t="shared" si="1"/>
        <v>0</v>
      </c>
      <c r="AH34" s="36">
        <f t="shared" si="2"/>
        <v>0</v>
      </c>
      <c r="AI34" s="37"/>
    </row>
    <row r="35" spans="1:35" ht="15.75" customHeight="1" x14ac:dyDescent="0.35">
      <c r="A35" s="17">
        <v>29</v>
      </c>
      <c r="B35" s="17" t="s">
        <v>72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>
        <f t="shared" si="3"/>
        <v>0</v>
      </c>
      <c r="AG35" s="5">
        <f t="shared" si="1"/>
        <v>0</v>
      </c>
      <c r="AH35" s="36">
        <f t="shared" si="2"/>
        <v>0</v>
      </c>
      <c r="AI35" s="37"/>
    </row>
    <row r="36" spans="1:35" ht="15.75" customHeight="1" x14ac:dyDescent="0.35">
      <c r="A36" s="17">
        <v>30</v>
      </c>
      <c r="B36" s="17" t="s">
        <v>73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>
        <f t="shared" si="3"/>
        <v>0</v>
      </c>
      <c r="AG36" s="5">
        <f t="shared" si="1"/>
        <v>0</v>
      </c>
      <c r="AH36" s="36">
        <f t="shared" si="2"/>
        <v>0</v>
      </c>
      <c r="AI36" s="37"/>
    </row>
    <row r="37" spans="1:35" ht="15.75" customHeight="1" x14ac:dyDescent="0.35">
      <c r="A37" s="17">
        <v>31</v>
      </c>
      <c r="B37" s="17" t="s">
        <v>74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>
        <f t="shared" si="3"/>
        <v>0</v>
      </c>
      <c r="AG37" s="5">
        <f t="shared" si="1"/>
        <v>0</v>
      </c>
      <c r="AH37" s="36">
        <f t="shared" si="2"/>
        <v>0</v>
      </c>
      <c r="AI37" s="37"/>
    </row>
    <row r="38" spans="1:35" ht="15.75" customHeight="1" x14ac:dyDescent="0.35">
      <c r="A38" s="17">
        <v>32</v>
      </c>
      <c r="B38" s="17" t="s">
        <v>75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>
        <f t="shared" si="3"/>
        <v>0</v>
      </c>
      <c r="AG38" s="5">
        <f t="shared" si="1"/>
        <v>0</v>
      </c>
      <c r="AH38" s="36">
        <f t="shared" si="2"/>
        <v>0</v>
      </c>
      <c r="AI38" s="37"/>
    </row>
    <row r="39" spans="1:35" ht="15.75" customHeight="1" x14ac:dyDescent="0.35">
      <c r="A39" s="17">
        <v>33</v>
      </c>
      <c r="B39" s="17" t="s">
        <v>76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>
        <f t="shared" si="3"/>
        <v>0</v>
      </c>
      <c r="AG39" s="5">
        <f t="shared" si="1"/>
        <v>0</v>
      </c>
      <c r="AH39" s="36">
        <f t="shared" si="2"/>
        <v>0</v>
      </c>
      <c r="AI39" s="37"/>
    </row>
    <row r="40" spans="1:35" ht="15.75" customHeight="1" x14ac:dyDescent="0.35">
      <c r="A40" s="17">
        <v>34</v>
      </c>
      <c r="B40" s="17" t="s">
        <v>77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>
        <f t="shared" si="3"/>
        <v>0</v>
      </c>
      <c r="AG40" s="5">
        <f t="shared" si="1"/>
        <v>0</v>
      </c>
      <c r="AH40" s="36">
        <f t="shared" si="2"/>
        <v>0</v>
      </c>
      <c r="AI40" s="37"/>
    </row>
    <row r="41" spans="1:35" ht="15.75" customHeight="1" x14ac:dyDescent="0.35">
      <c r="A41" s="17">
        <v>35</v>
      </c>
      <c r="B41" s="17" t="s">
        <v>78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>
        <f t="shared" si="3"/>
        <v>0</v>
      </c>
      <c r="AG41" s="5">
        <f t="shared" si="1"/>
        <v>0</v>
      </c>
      <c r="AH41" s="36">
        <f t="shared" si="2"/>
        <v>0</v>
      </c>
      <c r="AI41" s="37"/>
    </row>
    <row r="42" spans="1:35" ht="15.75" customHeight="1" x14ac:dyDescent="0.35">
      <c r="A42" s="17">
        <v>36</v>
      </c>
      <c r="B42" s="17" t="s">
        <v>79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>
        <f t="shared" si="3"/>
        <v>0</v>
      </c>
      <c r="AG42" s="5">
        <f t="shared" si="1"/>
        <v>0</v>
      </c>
      <c r="AH42" s="36">
        <f t="shared" si="2"/>
        <v>0</v>
      </c>
      <c r="AI42" s="37"/>
    </row>
    <row r="43" spans="1:35" ht="15.75" customHeight="1" x14ac:dyDescent="0.35">
      <c r="A43" s="17">
        <v>37</v>
      </c>
      <c r="B43" s="17" t="s">
        <v>80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>
        <f t="shared" si="3"/>
        <v>0</v>
      </c>
      <c r="AG43" s="5">
        <f t="shared" si="1"/>
        <v>0</v>
      </c>
      <c r="AH43" s="36">
        <f t="shared" si="2"/>
        <v>0</v>
      </c>
      <c r="AI43" s="37"/>
    </row>
    <row r="44" spans="1:35" ht="15.75" customHeight="1" x14ac:dyDescent="0.35">
      <c r="A44" s="17">
        <v>38</v>
      </c>
      <c r="B44" s="17" t="s">
        <v>81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>
        <f t="shared" si="3"/>
        <v>0</v>
      </c>
      <c r="AG44" s="5">
        <f t="shared" si="1"/>
        <v>0</v>
      </c>
      <c r="AH44" s="36">
        <f t="shared" si="2"/>
        <v>0</v>
      </c>
      <c r="AI44" s="37"/>
    </row>
    <row r="45" spans="1:35" ht="15.75" customHeight="1" x14ac:dyDescent="0.35">
      <c r="A45" s="17"/>
      <c r="B45" s="17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17">
        <f t="shared" si="3"/>
        <v>0</v>
      </c>
    </row>
    <row r="46" spans="1:35" ht="15.75" customHeight="1" x14ac:dyDescent="0.35">
      <c r="C46" s="17">
        <f t="shared" ref="C46:AE46" si="4">SUM(C7:C45)</f>
        <v>0</v>
      </c>
      <c r="D46" s="17">
        <f t="shared" si="4"/>
        <v>0</v>
      </c>
      <c r="E46" s="17">
        <f t="shared" si="4"/>
        <v>0</v>
      </c>
      <c r="F46" s="17">
        <f t="shared" si="4"/>
        <v>0</v>
      </c>
      <c r="G46" s="17">
        <f t="shared" si="4"/>
        <v>0</v>
      </c>
      <c r="H46" s="17">
        <f t="shared" si="4"/>
        <v>0</v>
      </c>
      <c r="I46" s="17">
        <f t="shared" si="4"/>
        <v>0</v>
      </c>
      <c r="J46" s="17">
        <f t="shared" si="4"/>
        <v>0</v>
      </c>
      <c r="K46" s="17">
        <f t="shared" si="4"/>
        <v>0</v>
      </c>
      <c r="L46" s="17">
        <f t="shared" si="4"/>
        <v>0</v>
      </c>
      <c r="M46" s="17">
        <f t="shared" si="4"/>
        <v>0</v>
      </c>
      <c r="N46" s="17">
        <f t="shared" si="4"/>
        <v>0</v>
      </c>
      <c r="O46" s="17">
        <f t="shared" si="4"/>
        <v>0</v>
      </c>
      <c r="P46" s="17">
        <f t="shared" si="4"/>
        <v>0</v>
      </c>
      <c r="Q46" s="17">
        <f t="shared" si="4"/>
        <v>0</v>
      </c>
      <c r="R46" s="17">
        <f t="shared" si="4"/>
        <v>0</v>
      </c>
      <c r="S46" s="17">
        <f t="shared" si="4"/>
        <v>0</v>
      </c>
      <c r="T46" s="17">
        <f t="shared" si="4"/>
        <v>0</v>
      </c>
      <c r="U46" s="17">
        <f t="shared" si="4"/>
        <v>0</v>
      </c>
      <c r="V46" s="17">
        <f t="shared" si="4"/>
        <v>0</v>
      </c>
      <c r="W46" s="17">
        <f t="shared" si="4"/>
        <v>0</v>
      </c>
      <c r="X46" s="17">
        <f t="shared" si="4"/>
        <v>0</v>
      </c>
      <c r="Y46" s="17">
        <f t="shared" si="4"/>
        <v>0</v>
      </c>
      <c r="Z46" s="17">
        <f t="shared" si="4"/>
        <v>0</v>
      </c>
      <c r="AA46" s="17">
        <f t="shared" si="4"/>
        <v>0</v>
      </c>
      <c r="AB46" s="17">
        <f t="shared" si="4"/>
        <v>0</v>
      </c>
      <c r="AC46" s="17">
        <f t="shared" si="4"/>
        <v>0</v>
      </c>
      <c r="AD46" s="17">
        <f t="shared" si="4"/>
        <v>0</v>
      </c>
      <c r="AE46" s="17">
        <f t="shared" si="4"/>
        <v>0</v>
      </c>
    </row>
    <row r="47" spans="1:35" ht="15.75" customHeight="1" x14ac:dyDescent="0.35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spans="1:3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5">
    <mergeCell ref="Z5:AA5"/>
    <mergeCell ref="AB5:AC5"/>
    <mergeCell ref="AD5:AE5"/>
    <mergeCell ref="C4:AE4"/>
    <mergeCell ref="C5:D5"/>
    <mergeCell ref="E5:F5"/>
    <mergeCell ref="G5:H5"/>
    <mergeCell ref="I5:J5"/>
    <mergeCell ref="L5:M5"/>
    <mergeCell ref="N5:O5"/>
    <mergeCell ref="P5:Q5"/>
    <mergeCell ref="R5:S5"/>
    <mergeCell ref="T5:U5"/>
    <mergeCell ref="V5:W5"/>
    <mergeCell ref="X5:Y5"/>
  </mergeCells>
  <conditionalFormatting sqref="C7:AE44">
    <cfRule type="cellIs" dxfId="2" priority="2" operator="equal">
      <formula>1</formula>
    </cfRule>
  </conditionalFormatting>
  <conditionalFormatting sqref="AF7:AF45">
    <cfRule type="cellIs" dxfId="1" priority="1" operator="lessThan">
      <formula>10</formula>
    </cfRule>
  </conditionalFormatting>
  <conditionalFormatting sqref="AG7:AG44">
    <cfRule type="cellIs" dxfId="0" priority="3" operator="lessThan">
      <formula>0.5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Balanço</vt:lpstr>
      <vt:lpstr>Balanço - Relatório</vt:lpstr>
      <vt:lpstr>Ficha 1</vt:lpstr>
      <vt:lpstr>Ficha 2</vt:lpstr>
      <vt:lpstr>Teste 1</vt:lpstr>
      <vt:lpstr>Teste 2</vt:lpstr>
      <vt:lpstr>Teste 3</vt:lpstr>
      <vt:lpstr>Exame</vt:lpstr>
      <vt:lpstr>Presenças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Wadiley Nascimento</dc:creator>
  <cp:lastModifiedBy>Wadiley Nascimento</cp:lastModifiedBy>
  <dcterms:created xsi:type="dcterms:W3CDTF">2025-10-17T09:56:42Z</dcterms:created>
  <dcterms:modified xsi:type="dcterms:W3CDTF">2026-10-15T18:32:47Z</dcterms:modified>
</cp:coreProperties>
</file>